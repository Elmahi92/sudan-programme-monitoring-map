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ALI72\Downloads\M_E_CO_maps\Data\"/>
    </mc:Choice>
  </mc:AlternateContent>
  <xr:revisionPtr revIDLastSave="0" documentId="13_ncr:1_{E651EA0C-E7F9-4201-B783-3FF7A3F544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3" r:id="rId1"/>
    <sheet name="Sheet1" sheetId="1" r:id="rId2"/>
  </sheets>
  <definedNames>
    <definedName name="_xlnm._FilterDatabase" localSheetId="1" hidden="1">Sheet1!$A$1:$U$314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1" l="1"/>
  <c r="Q40" i="1"/>
  <c r="Q39" i="1"/>
</calcChain>
</file>

<file path=xl/sharedStrings.xml><?xml version="1.0" encoding="utf-8"?>
<sst xmlns="http://schemas.openxmlformats.org/spreadsheetml/2006/main" count="1616" uniqueCount="256">
  <si>
    <t xml:space="preserve">Location </t>
  </si>
  <si>
    <t>Direct Ben Female</t>
  </si>
  <si>
    <t>Direct Ben Male</t>
  </si>
  <si>
    <t xml:space="preserve">Total Direct </t>
  </si>
  <si>
    <t>Actual Female</t>
  </si>
  <si>
    <t>Actual Male</t>
  </si>
  <si>
    <t>Actual F+M</t>
  </si>
  <si>
    <t>Indirect Ben Female</t>
  </si>
  <si>
    <t>Indirect Ben Male</t>
  </si>
  <si>
    <t xml:space="preserve">Total indirect </t>
  </si>
  <si>
    <t>Atbara</t>
  </si>
  <si>
    <t>Dongola</t>
  </si>
  <si>
    <t>Port Sudan</t>
  </si>
  <si>
    <t>Madeinat Al Gedaref</t>
  </si>
  <si>
    <t>Madeinat Kassala</t>
  </si>
  <si>
    <t>Kosti</t>
  </si>
  <si>
    <t>Sinja</t>
  </si>
  <si>
    <t>Ed Damazine</t>
  </si>
  <si>
    <t>Khartoum</t>
  </si>
  <si>
    <t>Medani Al Kubra</t>
  </si>
  <si>
    <t>Sheikan</t>
  </si>
  <si>
    <t>Kadugli</t>
  </si>
  <si>
    <t>Nyala Janoub</t>
  </si>
  <si>
    <t>Al Fasher</t>
  </si>
  <si>
    <t>Ad Du'ayn</t>
  </si>
  <si>
    <t xml:space="preserve">                 -  </t>
  </si>
  <si>
    <t>Ag Geneina</t>
  </si>
  <si>
    <t>Rabak</t>
  </si>
  <si>
    <t>Halfa</t>
  </si>
  <si>
    <t>Piller</t>
  </si>
  <si>
    <t>Health Pillar</t>
  </si>
  <si>
    <t>Project Name</t>
  </si>
  <si>
    <t>Intervention</t>
  </si>
  <si>
    <t>State</t>
  </si>
  <si>
    <t>SIRI - Addressing Live Saving - CERF</t>
  </si>
  <si>
    <t>Cash for work</t>
  </si>
  <si>
    <t>Aj Jazirah</t>
  </si>
  <si>
    <t>Solar Pumping</t>
  </si>
  <si>
    <t>Um Algura</t>
  </si>
  <si>
    <t>Tambul</t>
  </si>
  <si>
    <t>SIRI - Addressing Urgent Needs of IDPs - Italy</t>
  </si>
  <si>
    <t>Water/Yard Rehabilitation &amp; Solarization</t>
  </si>
  <si>
    <t>Gedaref</t>
  </si>
  <si>
    <t>Gala'a Al Nahal</t>
  </si>
  <si>
    <t>Solar Streetlight</t>
  </si>
  <si>
    <t>Gurisha</t>
  </si>
  <si>
    <t>CMC/CBRM/Conflict Resolution Mechanisms</t>
  </si>
  <si>
    <t>Kassala</t>
  </si>
  <si>
    <t>Halfa Aj Jadeedah</t>
  </si>
  <si>
    <t>Productive/Critical Infrastructure</t>
  </si>
  <si>
    <t>Strengthen Social Cohesion</t>
  </si>
  <si>
    <t>Capacity building/vocational training/training</t>
  </si>
  <si>
    <t>Agricultural production system</t>
  </si>
  <si>
    <t>Climate resilience initiatives/adaptive agriculture initiatives</t>
  </si>
  <si>
    <t>Employment/Temporary jobs/Entrepreneurial Opportunities</t>
  </si>
  <si>
    <t>Improve Access to Health Services</t>
  </si>
  <si>
    <t>Reifi Khashm Elgirba</t>
  </si>
  <si>
    <t>Solar Kit Distribution</t>
  </si>
  <si>
    <t>Service Delivery</t>
  </si>
  <si>
    <t>SIRI - Employment and Self Employment - EAA</t>
  </si>
  <si>
    <t>Wasat Al Gedaref</t>
  </si>
  <si>
    <t>Reifi Wad Elhilaiw</t>
  </si>
  <si>
    <t>River Nile</t>
  </si>
  <si>
    <t>Ad Damar</t>
  </si>
  <si>
    <t>Barbar</t>
  </si>
  <si>
    <t>SIRI - POWERING SUDAN’S AGRICULTURE: Kuwait - 457</t>
  </si>
  <si>
    <t>Al Hasahisa</t>
  </si>
  <si>
    <t>Al Kamlin</t>
  </si>
  <si>
    <t>Janub Al Jazirah</t>
  </si>
  <si>
    <t>White Nile</t>
  </si>
  <si>
    <t>Guli</t>
  </si>
  <si>
    <t>Ad Diwaim</t>
  </si>
  <si>
    <t>Al Manaqil</t>
  </si>
  <si>
    <t>Sharg Al Jazirah</t>
  </si>
  <si>
    <t>Red Sea</t>
  </si>
  <si>
    <t>SIRI - Strengthening the Resilience of IDPS, Refugees and Vulnerable Host Communities in East Sudan (SDC)</t>
  </si>
  <si>
    <t>Clean water access/water management</t>
  </si>
  <si>
    <t>Empowering women/Women Leadership</t>
  </si>
  <si>
    <t>Local Governance Support</t>
  </si>
  <si>
    <t>Water/Rehabilitation of Water Yard</t>
  </si>
  <si>
    <t>Food System</t>
  </si>
  <si>
    <t>Sinkat</t>
  </si>
  <si>
    <t>Tawkar</t>
  </si>
  <si>
    <t>Ar Rahad</t>
  </si>
  <si>
    <t>Al Mafaza</t>
  </si>
  <si>
    <t>Al Fashaga</t>
  </si>
  <si>
    <t>Al Qurashi</t>
  </si>
  <si>
    <t>SIRI - Strengthening Food Security and Livelihoods - JSB</t>
  </si>
  <si>
    <t>Tokar</t>
  </si>
  <si>
    <t>SIRI - Enhancing Access to Water Infrastructure for IDPs Refugees And Host Communities</t>
  </si>
  <si>
    <t>Al Qureisha</t>
  </si>
  <si>
    <t>Al Hasahisa/Al Kamlin</t>
  </si>
  <si>
    <t>Ad-Damar/ Almatama</t>
  </si>
  <si>
    <t>Sennar</t>
  </si>
  <si>
    <t>Singa</t>
  </si>
  <si>
    <t>GC7 combined grant - Title: Focused and differentiated TB/HIV prevention and treatment in Sudan</t>
  </si>
  <si>
    <t>TB Management Services</t>
  </si>
  <si>
    <t>Northern</t>
  </si>
  <si>
    <t>Blue Nile</t>
  </si>
  <si>
    <t>North Kordofan</t>
  </si>
  <si>
    <t>South Kordofan</t>
  </si>
  <si>
    <t>South Darfur</t>
  </si>
  <si>
    <t>Central Darfur</t>
  </si>
  <si>
    <t>East Darfur</t>
  </si>
  <si>
    <t>HIV/AIDS management services</t>
  </si>
  <si>
    <t>West Darfur</t>
  </si>
  <si>
    <t>COVID-19 Response Mechanism-UNDP-SDN-00129300</t>
  </si>
  <si>
    <t>COVID-19 Response Mechanism-UNDP-SDN-00129301</t>
  </si>
  <si>
    <t>COVID-19 Response Mechanism-UNDP-SDN-00129302</t>
  </si>
  <si>
    <t>COVID-19 Response Mechanism-UNDP-SDN-00129303</t>
  </si>
  <si>
    <t>Eastern Sudan Hospitals Improvements Project # 00105361</t>
  </si>
  <si>
    <t>Procurement Support to FMOH2-UNDP-SDN-00125478</t>
  </si>
  <si>
    <t>Supply of insulin for diabetic patients</t>
  </si>
  <si>
    <t>Support National Medical Supplies Fund (NMSF) for Procurement of Life Saving Medicines</t>
  </si>
  <si>
    <t>Resilience and Recovery Pillar</t>
  </si>
  <si>
    <t xml:space="preserve">ROL_Rebuilding Sudan's Peacebuilding Architecture: 00133549  </t>
  </si>
  <si>
    <t>Access to Justice and RoL</t>
  </si>
  <si>
    <t>North Darfur</t>
  </si>
  <si>
    <t>Tawila</t>
  </si>
  <si>
    <t xml:space="preserve">Reactivation of Community Protection &amp; Mediation Mechanisms for Civilian Safety and Justice </t>
  </si>
  <si>
    <t>Dar As Salam</t>
  </si>
  <si>
    <t>At Tawisha</t>
  </si>
  <si>
    <t>Nyala Shimal</t>
  </si>
  <si>
    <t>Promoting Spaces for Conflict Prevention and Reduced Vulnerability in Abyei</t>
  </si>
  <si>
    <t>Abyei PCA</t>
  </si>
  <si>
    <t>Abyei PCA area</t>
  </si>
  <si>
    <t>UN- Action-Urgent and Lifesaving Support for Conflict-Related Sexual Violence Survivors in Sudan</t>
  </si>
  <si>
    <t>Gender-Based Violence Response</t>
  </si>
  <si>
    <t>Advancing the Women, Peace, and Security Agenda in Sudan</t>
  </si>
  <si>
    <t>ROL_Rebuilding Sudan's Peacebuilding Architecture: 00133550</t>
  </si>
  <si>
    <t>ROL_Rebuilding Sudan's Peacebuilding Architecture: 00133551</t>
  </si>
  <si>
    <t>ROL_Rebuilding Sudan's Peacebuilding Architecture: 00133552</t>
  </si>
  <si>
    <t>ROL_Rebuilding Sudan's Peacebuilding Architecture: 00133553</t>
  </si>
  <si>
    <t>ROL_Rebuilding Sudan's Peacebuilding Architecture: 00133554</t>
  </si>
  <si>
    <t>ROL_Rebuilding Sudan's Peacebuilding Architecture: 00133555</t>
  </si>
  <si>
    <t>ROL_Rebuilding Sudan's Peacebuilding Architecture: 00133556</t>
  </si>
  <si>
    <t>ROL_Rebuilding Sudan's Peacebuilding Architecture: 00133557</t>
  </si>
  <si>
    <t>ROL_Rebuilding Sudan's Peacebuilding Architecture: 00133558</t>
  </si>
  <si>
    <t>ROL_Rebuilding Sudan's Peacebuilding Architecture: 00133559</t>
  </si>
  <si>
    <t>Peacebuilding &amp; Governance Pillar</t>
  </si>
  <si>
    <t xml:space="preserve">	Building resilience in the face of climate change within traditional rain fed agricultural and pastoral systems in Sudan
BRCC 00123540</t>
  </si>
  <si>
    <t>Water-yard rehabilitation</t>
  </si>
  <si>
    <t>Agig</t>
  </si>
  <si>
    <t>Haya/Dordaib</t>
  </si>
  <si>
    <t xml:space="preserve">Dongola </t>
  </si>
  <si>
    <t>Marawi</t>
  </si>
  <si>
    <t>Aldabbah</t>
  </si>
  <si>
    <t>New Water-yard construction</t>
  </si>
  <si>
    <t>Telkuk</t>
  </si>
  <si>
    <t>Guneb Olib</t>
  </si>
  <si>
    <t>Kartoum</t>
  </si>
  <si>
    <t>West Omdurman</t>
  </si>
  <si>
    <t>Haffir  rehabilitation</t>
  </si>
  <si>
    <t>Rural Nahr Atbara</t>
  </si>
  <si>
    <t>New Haffir  construction</t>
  </si>
  <si>
    <t>Climate Resilience Initiative/ Adaptive Agriculture Initiative</t>
  </si>
  <si>
    <t>Rangeland, forestry and ecosystem restoration</t>
  </si>
  <si>
    <t>Protected Areas &amp; Sustainable Land Managament in Sudan
PA 00096848</t>
  </si>
  <si>
    <t>Sustainable livelihoods</t>
  </si>
  <si>
    <t>Gedarif</t>
  </si>
  <si>
    <t>Protected area management effectiveness</t>
  </si>
  <si>
    <t>Sudan national child project - Africa Minigrids Program (AMP)
AMP 00126615</t>
  </si>
  <si>
    <t>Energy access through mini-grid connections</t>
  </si>
  <si>
    <t>Halaib</t>
  </si>
  <si>
    <t>Gebeit - Elmaadin</t>
  </si>
  <si>
    <t>Hamshkoreb</t>
  </si>
  <si>
    <t>Green jobs created/ Employment/Temporary jobs/Entrepreneurial Opportunities</t>
  </si>
  <si>
    <t>Solar Sisters</t>
  </si>
  <si>
    <t>Red Sea/ Khartoum</t>
  </si>
  <si>
    <t>Port Sudan/ Khartoum</t>
  </si>
  <si>
    <t>CBIT 00126516</t>
  </si>
  <si>
    <t>Sudan-Scaling Solar Applications for Agricultural Use (SSAAU) - ISA 01000518</t>
  </si>
  <si>
    <t>Aldamer</t>
  </si>
  <si>
    <t>Almatama</t>
  </si>
  <si>
    <t>Atbra</t>
  </si>
  <si>
    <t>Supporting NDCs Stocktaking and NDCs Revision Roadmap for Sudan</t>
  </si>
  <si>
    <t>Promotion of Solar Tuk Tuk for Public Transportation for Rural in Gedaref State 
01004841</t>
  </si>
  <si>
    <t>Renewable Energy Solutions</t>
  </si>
  <si>
    <t xml:space="preserve">	Building resilience in the face of climate change within traditional rain fed agricultural and pastoral systems in Sudan
BRCC 00123541</t>
  </si>
  <si>
    <t xml:space="preserve">	Building resilience in the face of climate change within traditional rain fed agricultural and pastoral systems in Sudan
BRCC 00123542</t>
  </si>
  <si>
    <t xml:space="preserve">	Building resilience in the face of climate change within traditional rain fed agricultural and pastoral systems in Sudan
BRCC 00123543</t>
  </si>
  <si>
    <t xml:space="preserve">	Building resilience in the face of climate change within traditional rain fed agricultural and pastoral systems in Sudan
BRCC 00123544</t>
  </si>
  <si>
    <t xml:space="preserve">	Building resilience in the face of climate change within traditional rain fed agricultural and pastoral systems in Sudan
BRCC 00123545</t>
  </si>
  <si>
    <t xml:space="preserve">	Building resilience in the face of climate change within traditional rain fed agricultural and pastoral systems in Sudan
BRCC 00123546</t>
  </si>
  <si>
    <t xml:space="preserve">	Building resilience in the face of climate change within traditional rain fed agricultural and pastoral systems in Sudan
BRCC 00123547</t>
  </si>
  <si>
    <t xml:space="preserve">	Building resilience in the face of climate change within traditional rain fed agricultural and pastoral systems in Sudan
BRCC 00123548</t>
  </si>
  <si>
    <t xml:space="preserve">	Building resilience in the face of climate change within traditional rain fed agricultural and pastoral systems in Sudan
BRCC 00123549</t>
  </si>
  <si>
    <t xml:space="preserve">	Building resilience in the face of climate change within traditional rain fed agricultural and pastoral systems in Sudan
BRCC 00123550</t>
  </si>
  <si>
    <t xml:space="preserve">	Building resilience in the face of climate change within traditional rain fed agricultural and pastoral systems in Sudan
BRCC 00123551</t>
  </si>
  <si>
    <t xml:space="preserve">	Building resilience in the face of climate change within traditional rain fed agricultural and pastoral systems in Sudan
BRCC 00123552</t>
  </si>
  <si>
    <t xml:space="preserve">	Building resilience in the face of climate change within traditional rain fed agricultural and pastoral systems in Sudan
BRCC 00123553</t>
  </si>
  <si>
    <t xml:space="preserve">	Building resilience in the face of climate change within traditional rain fed agricultural and pastoral systems in Sudan
BRCC 00123554</t>
  </si>
  <si>
    <t xml:space="preserve">	Building resilience in the face of climate change within traditional rain fed agricultural and pastoral systems in Sudan
BRCC 00123555</t>
  </si>
  <si>
    <t xml:space="preserve">	Building resilience in the face of climate change within traditional rain fed agricultural and pastoral systems in Sudan
BRCC 00123556</t>
  </si>
  <si>
    <t xml:space="preserve">	Building resilience in the face of climate change within traditional rain fed agricultural and pastoral systems in Sudan
BRCC 00123557</t>
  </si>
  <si>
    <t xml:space="preserve">	Building resilience in the face of climate change within traditional rain fed agricultural and pastoral systems in Sudan
BRCC 00123558</t>
  </si>
  <si>
    <t xml:space="preserve">	Building resilience in the face of climate change within traditional rain fed agricultural and pastoral systems in Sudan
BRCC 00123559</t>
  </si>
  <si>
    <t xml:space="preserve">	Building resilience in the face of climate change within traditional rain fed agricultural and pastoral systems in Sudan
BRCC 00123560</t>
  </si>
  <si>
    <t xml:space="preserve">	Building resilience in the face of climate change within traditional rain fed agricultural and pastoral systems in Sudan
BRCC 00123561</t>
  </si>
  <si>
    <t xml:space="preserve">	Building resilience in the face of climate change within traditional rain fed agricultural and pastoral systems in Sudan
BRCC 00123562</t>
  </si>
  <si>
    <t xml:space="preserve">	Building resilience in the face of climate change within traditional rain fed agricultural and pastoral systems in Sudan
BRCC 00123563</t>
  </si>
  <si>
    <t xml:space="preserve">	Building resilience in the face of climate change within traditional rain fed agricultural and pastoral systems in Sudan
BRCC 00123564</t>
  </si>
  <si>
    <t xml:space="preserve">	Building resilience in the face of climate change within traditional rain fed agricultural and pastoral systems in Sudan
BRCC 00123565</t>
  </si>
  <si>
    <t xml:space="preserve">	Building resilience in the face of climate change within traditional rain fed agricultural and pastoral systems in Sudan
BRCC 00123566</t>
  </si>
  <si>
    <t xml:space="preserve">	Building resilience in the face of climate change within traditional rain fed agricultural and pastoral systems in Sudan
BRCC 00123567</t>
  </si>
  <si>
    <t xml:space="preserve">	Building resilience in the face of climate change within traditional rain fed agricultural and pastoral systems in Sudan
BRCC 00123568</t>
  </si>
  <si>
    <t xml:space="preserve">	Building resilience in the face of climate change within traditional rain fed agricultural and pastoral systems in Sudan
BRCC 00123569</t>
  </si>
  <si>
    <t xml:space="preserve">	Building resilience in the face of climate change within traditional rain fed agricultural and pastoral systems in Sudan
BRCC 00123570</t>
  </si>
  <si>
    <t xml:space="preserve">	Building resilience in the face of climate change within traditional rain fed agricultural and pastoral systems in Sudan
BRCC 00123571</t>
  </si>
  <si>
    <t>Protected Areas &amp; Sustainable Land Managament in Sudan
PA 00096849</t>
  </si>
  <si>
    <t>Protected Areas &amp; Sustainable Land Managament in Sudan
PA 00096850</t>
  </si>
  <si>
    <t>Protected Areas &amp; Sustainable Land Managament in Sudan
PA 00096851</t>
  </si>
  <si>
    <t>Protected Areas &amp; Sustainable Land Managament in Sudan
PA 00096852</t>
  </si>
  <si>
    <t>Protected Areas &amp; Sustainable Land Managament in Sudan
PA 00096853</t>
  </si>
  <si>
    <t>Protected Areas &amp; Sustainable Land Managament in Sudan
PA 00096854</t>
  </si>
  <si>
    <t>Protected Areas &amp; Sustainable Land Managament in Sudan
PA 00096855</t>
  </si>
  <si>
    <t>Protected Areas &amp; Sustainable Land Managament in Sudan
PA 00096856</t>
  </si>
  <si>
    <t>Protected Areas &amp; Sustainable Land Managament in Sudan
PA 00096857</t>
  </si>
  <si>
    <t>Protected Areas &amp; Sustainable Land Managament in Sudan
PA 00096858</t>
  </si>
  <si>
    <t>Protected Areas &amp; Sustainable Land Managament in Sudan
PA 00096859</t>
  </si>
  <si>
    <t>Sudan national child project - Africa Minigrids Program (AMP)
AMP 00126616</t>
  </si>
  <si>
    <t>Sudan national child project - Africa Minigrids Program (AMP)
AMP 00126617</t>
  </si>
  <si>
    <t>Sudan national child project - Africa Minigrids Program (AMP)
AMP 00126618</t>
  </si>
  <si>
    <t>Sudan national child project - Africa Minigrids Program (AMP)
AMP 00126619</t>
  </si>
  <si>
    <t>Sudan national child project - Africa Minigrids Program (AMP)
AMP 00126620</t>
  </si>
  <si>
    <t>Sudan national child project - Africa Minigrids Program (AMP)
AMP 00126621</t>
  </si>
  <si>
    <t>Sudan national child project - Africa Minigrids Program (AMP)
AMP 00126622</t>
  </si>
  <si>
    <t>Sudan national child project - Africa Minigrids Program (AMP)
AMP 00126623</t>
  </si>
  <si>
    <t>Sudan national child project - Africa Minigrids Program (AMP)
AMP 00126624</t>
  </si>
  <si>
    <t>Sudan national child project - Africa Minigrids Program (AMP)
AMP 00126625</t>
  </si>
  <si>
    <t>Sudan national child project - Africa Minigrids Program (AMP)
AMP 00126626</t>
  </si>
  <si>
    <t>Sudan national child project - Africa Minigrids Program (AMP)
AMP 00126627</t>
  </si>
  <si>
    <t>Sudan-Scaling Solar Applications for Agricultural Use (SSAAU) - ISA 01000519</t>
  </si>
  <si>
    <t>Sudan-Scaling Solar Applications for Agricultural Use (SSAAU) - ISA 01000520</t>
  </si>
  <si>
    <t>Promotion of Solar Tuk Tuk for Public Transportation for Rural in Gedaref State 
01004842</t>
  </si>
  <si>
    <t>Environment, Energy and Climate Change Pillar</t>
  </si>
  <si>
    <t>Direct Target 2026 Female</t>
  </si>
  <si>
    <t>Direct Target 2026 Male</t>
  </si>
  <si>
    <t>Direct Target 2026 Youth</t>
  </si>
  <si>
    <t>Direct Target 2026 Total</t>
  </si>
  <si>
    <t>Direct Actual Sep 2026 Female</t>
  </si>
  <si>
    <t>Direct Actual Sep 2026 Male</t>
  </si>
  <si>
    <t>Direct Actual Sep 2026 Youth</t>
  </si>
  <si>
    <t>Direct Actual Sep 2026 Total</t>
  </si>
  <si>
    <t>Indirect Target 2026 Female</t>
  </si>
  <si>
    <t>Indirect Target 2026 Male</t>
  </si>
  <si>
    <t>Indirect Target 2026 Youth</t>
  </si>
  <si>
    <t>Indirect Target 2026 Total</t>
  </si>
  <si>
    <t>Indirect Actual Sep 2026 Female</t>
  </si>
  <si>
    <t>Indirect Actual Sep 2026 Male</t>
  </si>
  <si>
    <t>Indirect Actual Sep 2026 Youth</t>
  </si>
  <si>
    <t>Indirect Actual Sep 2026 Total</t>
  </si>
  <si>
    <t>Row Labels</t>
  </si>
  <si>
    <t>Grand Total</t>
  </si>
  <si>
    <t>Sum of Direct Actual Sep 2026 Total</t>
  </si>
  <si>
    <t>Sum of Indirect Actual Sep 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</si>
</sst>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Ali" refreshedDate="46291.625561342589" createdVersion="8" refreshedVersion="8" minRefreshableVersion="3" recordCount="313" xr:uid="{7DA3015A-F1F9-4C3E-84EC-302C06894AD1}">
  <cacheSource type="worksheet">
    <worksheetSource ref="A1:U314" sheet="Sheet1"/>
  </cacheSource>
  <cacheFields count="21">
    <cacheField name="Piller" numFmtId="0">
      <sharedItems count="4">
        <s v="Health Pillar"/>
        <s v="Resilience and Recovery Pillar"/>
        <s v="Peacebuilding &amp; Governance Pillar"/>
        <s v="Environment, Energy and Climate Change Pillar"/>
      </sharedItems>
    </cacheField>
    <cacheField name="Project Name" numFmtId="0">
      <sharedItems/>
    </cacheField>
    <cacheField name="Intervention" numFmtId="0">
      <sharedItems/>
    </cacheField>
    <cacheField name="State" numFmtId="0">
      <sharedItems containsBlank="1" count="23">
        <s v="River Nile"/>
        <s v="Northern"/>
        <s v="Red Sea"/>
        <s v="Gedaref"/>
        <s v="Kassala"/>
        <s v="White Nile"/>
        <s v="Sennar"/>
        <s v="Blue Nile"/>
        <s v="Khartoum"/>
        <s v="Aj Jazirah"/>
        <s v="North Kordofan"/>
        <s v="South Kordofan"/>
        <s v="South Darfur"/>
        <s v="Central Darfur"/>
        <s v="East Darfur"/>
        <s v="West Darfur"/>
        <s v="State"/>
        <s v="North Darfur"/>
        <s v="Abyei PCA"/>
        <m/>
        <s v="Kartoum"/>
        <s v="Gedarif"/>
        <s v="Red Sea/ Khartoum"/>
      </sharedItems>
    </cacheField>
    <cacheField name="Location " numFmtId="0">
      <sharedItems containsBlank="1"/>
    </cacheField>
    <cacheField name="Direct Target 2026 Female" numFmtId="0">
      <sharedItems containsBlank="1" containsMixedTypes="1" containsNumber="1" minValue="0" maxValue="1398608"/>
    </cacheField>
    <cacheField name="Direct Target 2026 Male" numFmtId="0">
      <sharedItems containsBlank="1" containsMixedTypes="1" containsNumber="1" minValue="0" maxValue="1709410"/>
    </cacheField>
    <cacheField name="Direct Target 2026 Youth" numFmtId="0">
      <sharedItems containsString="0" containsBlank="1" containsNumber="1" containsInteger="1" minValue="0" maxValue="120"/>
    </cacheField>
    <cacheField name="Direct Target 2026 Total" numFmtId="0">
      <sharedItems containsBlank="1" containsMixedTypes="1" containsNumber="1" minValue="0" maxValue="3108018"/>
    </cacheField>
    <cacheField name="Direct Actual Sep 2026 Female" numFmtId="0">
      <sharedItems containsBlank="1" containsMixedTypes="1" containsNumber="1" containsInteger="1" minValue="0" maxValue="629374"/>
    </cacheField>
    <cacheField name="Direct Actual Sep 2026 Male" numFmtId="0">
      <sharedItems containsBlank="1" containsMixedTypes="1" containsNumber="1" containsInteger="1" minValue="0" maxValue="769235"/>
    </cacheField>
    <cacheField name="Direct Actual Sep 2026 Youth" numFmtId="0">
      <sharedItems containsString="0" containsBlank="1" containsNumber="1" containsInteger="1" minValue="0" maxValue="74"/>
    </cacheField>
    <cacheField name="Direct Actual Sep 2026 Total" numFmtId="0">
      <sharedItems containsBlank="1" containsMixedTypes="1" containsNumber="1" containsInteger="1" minValue="0" maxValue="1398608"/>
    </cacheField>
    <cacheField name="Indirect Target 2026 Female" numFmtId="0">
      <sharedItems containsBlank="1" containsMixedTypes="1" containsNumber="1" minValue="0" maxValue="2097912"/>
    </cacheField>
    <cacheField name="Indirect Target 2026 Male" numFmtId="0">
      <sharedItems containsBlank="1" containsMixedTypes="1" containsNumber="1" minValue="0" maxValue="2564115"/>
    </cacheField>
    <cacheField name="Indirect Target 2026 Youth" numFmtId="0">
      <sharedItems containsString="0" containsBlank="1" containsNumber="1" containsInteger="1" minValue="0" maxValue="1500"/>
    </cacheField>
    <cacheField name="Indirect Target 2026 Total" numFmtId="0">
      <sharedItems containsBlank="1" containsMixedTypes="1" containsNumber="1" minValue="0" maxValue="4662027"/>
    </cacheField>
    <cacheField name="Indirect Actual Sep 2026 Female" numFmtId="0">
      <sharedItems containsBlank="1" containsMixedTypes="1" containsNumber="1" minValue="0" maxValue="944060"/>
    </cacheField>
    <cacheField name="Indirect Actual Sep 2026 Male" numFmtId="0">
      <sharedItems containsBlank="1" containsMixedTypes="1" containsNumber="1" minValue="0" maxValue="1071597"/>
    </cacheField>
    <cacheField name="Indirect Actual Sep 2026 Youth" numFmtId="0">
      <sharedItems containsString="0" containsBlank="1" containsNumber="1" containsInteger="1" minValue="0" maxValue="400"/>
    </cacheField>
    <cacheField name="Indirect Actual Sep 2026 Total" numFmtId="0">
      <sharedItems containsBlank="1" containsMixedTypes="1" containsNumber="1" minValue="0" maxValue="19483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x v="0"/>
    <s v="GC7 combined grant - Title: Focused and differentiated TB/HIV prevention and treatment in Sudan"/>
    <s v="TB Management Services"/>
    <x v="0"/>
    <s v="Atbara"/>
    <n v="1229.4000000000001"/>
    <n v="1502.6"/>
    <m/>
    <n v="2732"/>
    <n v="1654"/>
    <n v="2021"/>
    <m/>
    <n v="3675"/>
    <n v="7376.4000000000005"/>
    <n v="9015.6"/>
    <m/>
    <n v="16392"/>
    <n v="8200"/>
    <n v="10022"/>
    <m/>
    <n v="18222"/>
  </r>
  <r>
    <x v="0"/>
    <s v="GC7 combined grant - Title: Focused and differentiated TB/HIV prevention and treatment in Sudan"/>
    <s v="TB Management Services"/>
    <x v="1"/>
    <s v="Dongola"/>
    <n v="313.64999999999998"/>
    <n v="383.35"/>
    <m/>
    <n v="697"/>
    <n v="613"/>
    <n v="750"/>
    <m/>
    <n v="1363"/>
    <n v="1881.9"/>
    <n v="2300.1000000000004"/>
    <m/>
    <n v="4182"/>
    <n v="2976"/>
    <n v="3638"/>
    <m/>
    <n v="6614"/>
  </r>
  <r>
    <x v="0"/>
    <s v="GC7 combined grant - Title: Focused and differentiated TB/HIV prevention and treatment in Sudan"/>
    <s v="TB Management Services"/>
    <x v="2"/>
    <s v="Port Sudan"/>
    <n v="1344.15"/>
    <n v="1642.85"/>
    <m/>
    <n v="2987"/>
    <n v="1127"/>
    <n v="1378"/>
    <m/>
    <n v="2505"/>
    <n v="8064.9000000000005"/>
    <n v="9857.1"/>
    <m/>
    <n v="17922"/>
    <n v="5526"/>
    <n v="6754"/>
    <m/>
    <n v="12280"/>
  </r>
  <r>
    <x v="0"/>
    <s v="GC7 combined grant - Title: Focused and differentiated TB/HIV prevention and treatment in Sudan"/>
    <s v="TB Management Services"/>
    <x v="3"/>
    <s v="Madeinat Al Gedaref"/>
    <n v="2764.8"/>
    <n v="3379.2"/>
    <m/>
    <n v="6144"/>
    <n v="1278"/>
    <n v="1561"/>
    <m/>
    <n v="2839"/>
    <n v="16588.8"/>
    <n v="20275.2"/>
    <m/>
    <n v="36864"/>
    <n v="6176"/>
    <n v="7548"/>
    <m/>
    <n v="13724"/>
  </r>
  <r>
    <x v="0"/>
    <s v="GC7 combined grant - Title: Focused and differentiated TB/HIV prevention and treatment in Sudan"/>
    <s v="TB Management Services"/>
    <x v="4"/>
    <s v="Madeinat Kassala"/>
    <n v="2094.3000000000002"/>
    <n v="2559.6999999999998"/>
    <m/>
    <n v="4654"/>
    <n v="1321"/>
    <n v="1615"/>
    <m/>
    <n v="2936"/>
    <n v="12565.800000000001"/>
    <n v="15358.2"/>
    <m/>
    <n v="27924"/>
    <n v="6526"/>
    <n v="7976"/>
    <m/>
    <n v="14502"/>
  </r>
  <r>
    <x v="0"/>
    <s v="GC7 combined grant - Title: Focused and differentiated TB/HIV prevention and treatment in Sudan"/>
    <s v="TB Management Services"/>
    <x v="5"/>
    <s v="Kosti"/>
    <n v="1854.9"/>
    <n v="2267.1"/>
    <m/>
    <n v="4122"/>
    <n v="1468"/>
    <n v="1794"/>
    <m/>
    <n v="3262"/>
    <n v="12344.4"/>
    <n v="13602.6"/>
    <m/>
    <n v="25947"/>
    <n v="7148"/>
    <n v="8736"/>
    <m/>
    <n v="15884"/>
  </r>
  <r>
    <x v="0"/>
    <s v="GC7 combined grant - Title: Focused and differentiated TB/HIV prevention and treatment in Sudan"/>
    <s v="TB Management Services"/>
    <x v="6"/>
    <s v="Sinja"/>
    <n v="1090.8"/>
    <n v="1333.2"/>
    <m/>
    <n v="2424"/>
    <n v="595"/>
    <n v="728"/>
    <m/>
    <n v="1323"/>
    <n v="6544.8"/>
    <n v="7999.2000000000007"/>
    <m/>
    <n v="14544"/>
    <n v="2875"/>
    <n v="3513"/>
    <m/>
    <n v="6388"/>
  </r>
  <r>
    <x v="0"/>
    <s v="GC7 combined grant - Title: Focused and differentiated TB/HIV prevention and treatment in Sudan"/>
    <s v="TB Management Services"/>
    <x v="7"/>
    <s v="Ed Damazine"/>
    <n v="649.79999999999995"/>
    <n v="794.2"/>
    <m/>
    <n v="1444"/>
    <n v="404"/>
    <n v="494"/>
    <m/>
    <n v="898"/>
    <n v="3898.8"/>
    <n v="4765.2000000000007"/>
    <m/>
    <n v="8664"/>
    <n v="1999"/>
    <n v="2443"/>
    <m/>
    <n v="4442"/>
  </r>
  <r>
    <x v="0"/>
    <s v="GC7 combined grant - Title: Focused and differentiated TB/HIV prevention and treatment in Sudan"/>
    <s v="TB Management Services"/>
    <x v="8"/>
    <s v="Khartoum"/>
    <n v="3050.1"/>
    <n v="3727.9"/>
    <m/>
    <n v="6778"/>
    <n v="3069"/>
    <n v="3752"/>
    <m/>
    <n v="6821"/>
    <n v="18300.600000000002"/>
    <n v="22367.4"/>
    <m/>
    <n v="40668"/>
    <n v="14885"/>
    <n v="18193"/>
    <m/>
    <n v="33078"/>
  </r>
  <r>
    <x v="0"/>
    <s v="GC7 combined grant - Title: Focused and differentiated TB/HIV prevention and treatment in Sudan"/>
    <s v="TB Management Services"/>
    <x v="9"/>
    <s v="Medani Al Kubra"/>
    <n v="5225.8500000000004"/>
    <n v="6387.15"/>
    <m/>
    <n v="11613"/>
    <n v="1805"/>
    <n v="2207"/>
    <m/>
    <n v="4012"/>
    <n v="31355.100000000002"/>
    <n v="38322.9"/>
    <m/>
    <n v="69678"/>
    <n v="8867"/>
    <n v="10837"/>
    <m/>
    <n v="19704"/>
  </r>
  <r>
    <x v="0"/>
    <s v="GC7 combined grant - Title: Focused and differentiated TB/HIV prevention and treatment in Sudan"/>
    <s v="TB Management Services"/>
    <x v="10"/>
    <s v="Sheikan"/>
    <n v="282.60000000000002"/>
    <n v="345.4"/>
    <m/>
    <n v="628"/>
    <n v="758"/>
    <n v="926"/>
    <m/>
    <n v="1684"/>
    <n v="1695.6000000000001"/>
    <n v="2072.4"/>
    <m/>
    <n v="3768"/>
    <n v="3736"/>
    <n v="4566"/>
    <m/>
    <n v="8302"/>
  </r>
  <r>
    <x v="0"/>
    <s v="GC7 combined grant - Title: Focused and differentiated TB/HIV prevention and treatment in Sudan"/>
    <s v="TB Management Services"/>
    <x v="11"/>
    <s v="Kadugli"/>
    <n v="22.95"/>
    <n v="28.05"/>
    <m/>
    <n v="51"/>
    <n v="55"/>
    <n v="68"/>
    <m/>
    <n v="123"/>
    <n v="137.70000000000002"/>
    <n v="168.3"/>
    <m/>
    <n v="306"/>
    <n v="275"/>
    <n v="337"/>
    <m/>
    <n v="612"/>
  </r>
  <r>
    <x v="0"/>
    <s v="GC7 combined grant - Title: Focused and differentiated TB/HIV prevention and treatment in Sudan"/>
    <s v="TB Management Services"/>
    <x v="12"/>
    <s v="Nyala Janoub"/>
    <n v="181.8"/>
    <n v="222.2"/>
    <m/>
    <n v="404"/>
    <n v="208"/>
    <n v="255"/>
    <m/>
    <n v="463"/>
    <n v="1090.8"/>
    <n v="1333.2"/>
    <m/>
    <n v="2424"/>
    <n v="1033"/>
    <n v="1263"/>
    <m/>
    <n v="2296"/>
  </r>
  <r>
    <x v="0"/>
    <s v="GC7 combined grant - Title: Focused and differentiated TB/HIV prevention and treatment in Sudan"/>
    <s v="TB Management Services"/>
    <x v="13"/>
    <s v="Al Fasher"/>
    <n v="37.35"/>
    <n v="45.65"/>
    <m/>
    <n v="83"/>
    <n v="29"/>
    <n v="36"/>
    <m/>
    <n v="65"/>
    <n v="224.1"/>
    <n v="273.90000000000003"/>
    <m/>
    <n v="498"/>
    <n v="139"/>
    <n v="169"/>
    <m/>
    <n v="308"/>
  </r>
  <r>
    <x v="0"/>
    <s v="GC7 combined grant - Title: Focused and differentiated TB/HIV prevention and treatment in Sudan"/>
    <s v="TB Management Services"/>
    <x v="14"/>
    <s v="Ad Du'ayn"/>
    <n v="74.7"/>
    <n v="91.3"/>
    <m/>
    <n v="166"/>
    <s v="                 -  "/>
    <s v="                 -  "/>
    <m/>
    <s v="                 -  "/>
    <n v="448.2"/>
    <n v="547.80000000000007"/>
    <m/>
    <n v="996"/>
    <s v="                 -  "/>
    <s v="                 -  "/>
    <m/>
    <s v="                 -  "/>
  </r>
  <r>
    <x v="0"/>
    <s v="GC7 combined grant - Title: Focused and differentiated TB/HIV prevention and treatment in Sudan"/>
    <s v="HIV/AIDS management services"/>
    <x v="0"/>
    <s v="Atbara"/>
    <n v="6778.2872249999991"/>
    <n v="8284.5732749999988"/>
    <m/>
    <n v="15062.860499999999"/>
    <n v="2280"/>
    <n v="2786"/>
    <m/>
    <n v="5066"/>
    <n v="40669.65"/>
    <n v="49707.350000000006"/>
    <m/>
    <n v="90377"/>
    <n v="9119"/>
    <n v="11145"/>
    <m/>
    <n v="20264"/>
  </r>
  <r>
    <x v="0"/>
    <s v="GC7 combined grant - Title: Focused and differentiated TB/HIV prevention and treatment in Sudan"/>
    <s v="HIV/AIDS management services"/>
    <x v="1"/>
    <s v="Dongola"/>
    <n v="8563.1231249999983"/>
    <n v="10466.039374999998"/>
    <m/>
    <n v="19029.162499999999"/>
    <n v="2907"/>
    <n v="3554"/>
    <m/>
    <n v="6461"/>
    <n v="51378.75"/>
    <n v="62796.250000000007"/>
    <m/>
    <n v="114175"/>
    <n v="11630"/>
    <n v="14214"/>
    <m/>
    <n v="25844"/>
  </r>
  <r>
    <x v="0"/>
    <s v="GC7 combined grant - Title: Focused and differentiated TB/HIV prevention and treatment in Sudan"/>
    <s v="HIV/AIDS management services"/>
    <x v="2"/>
    <s v="Port Sudan"/>
    <n v="11404.080900000001"/>
    <n v="13938.321100000001"/>
    <m/>
    <n v="25342.402000000002"/>
    <n v="4437"/>
    <n v="5422"/>
    <m/>
    <n v="9859"/>
    <n v="68424.3"/>
    <n v="83629.700000000012"/>
    <m/>
    <n v="152054"/>
    <n v="17746"/>
    <n v="21690"/>
    <m/>
    <n v="39436"/>
  </r>
  <r>
    <x v="0"/>
    <s v="GC7 combined grant - Title: Focused and differentiated TB/HIV prevention and treatment in Sudan"/>
    <s v="HIV/AIDS management services"/>
    <x v="3"/>
    <s v="Madeinat Al Gedaref"/>
    <n v="13961.389724999999"/>
    <n v="17063.920774999999"/>
    <m/>
    <n v="31025.3105"/>
    <n v="3089"/>
    <n v="3776"/>
    <m/>
    <n v="6865"/>
    <n v="83768.400000000009"/>
    <n v="102383.6"/>
    <m/>
    <n v="186152"/>
    <n v="12357"/>
    <n v="15103"/>
    <m/>
    <n v="27460"/>
  </r>
  <r>
    <x v="0"/>
    <s v="GC7 combined grant - Title: Focused and differentiated TB/HIV prevention and treatment in Sudan"/>
    <s v="HIV/AIDS management services"/>
    <x v="4"/>
    <s v="Madeinat Kassala"/>
    <n v="15914.402549999999"/>
    <n v="19450.936450000001"/>
    <m/>
    <n v="35365.339"/>
    <n v="8864"/>
    <n v="10834"/>
    <m/>
    <n v="19698"/>
    <n v="95486.400000000009"/>
    <n v="116705.60000000001"/>
    <m/>
    <n v="212192"/>
    <n v="35456"/>
    <n v="43336"/>
    <m/>
    <n v="78792"/>
  </r>
  <r>
    <x v="0"/>
    <s v="GC7 combined grant - Title: Focused and differentiated TB/HIV prevention and treatment in Sudan"/>
    <s v="HIV/AIDS management services"/>
    <x v="5"/>
    <s v="Kosti"/>
    <n v="26245.87515"/>
    <n v="32078.291850000001"/>
    <m/>
    <n v="58324.167000000001"/>
    <n v="5238"/>
    <n v="6401"/>
    <m/>
    <n v="11639"/>
    <n v="157475.25"/>
    <n v="192469.75000000003"/>
    <m/>
    <n v="349945"/>
    <n v="20950"/>
    <n v="25606"/>
    <m/>
    <n v="46556"/>
  </r>
  <r>
    <x v="0"/>
    <s v="GC7 combined grant - Title: Focused and differentiated TB/HIV prevention and treatment in Sudan"/>
    <s v="HIV/AIDS management services"/>
    <x v="6"/>
    <s v="Sinja"/>
    <n v="6578.2644749999999"/>
    <n v="8040.1010249999999"/>
    <m/>
    <n v="14618.3655"/>
    <n v="1749"/>
    <n v="2138"/>
    <m/>
    <n v="3887"/>
    <n v="39469.5"/>
    <n v="48240.500000000007"/>
    <m/>
    <n v="87710"/>
    <n v="6997"/>
    <n v="8551"/>
    <m/>
    <n v="15548"/>
  </r>
  <r>
    <x v="0"/>
    <s v="GC7 combined grant - Title: Focused and differentiated TB/HIV prevention and treatment in Sudan"/>
    <s v="HIV/AIDS management services"/>
    <x v="7"/>
    <s v="Ed Damazine"/>
    <n v="9801.81675"/>
    <n v="11979.998249999999"/>
    <m/>
    <n v="21781.814999999999"/>
    <n v="7393"/>
    <n v="9036"/>
    <m/>
    <n v="16429"/>
    <n v="58810.950000000004"/>
    <n v="71880.05"/>
    <m/>
    <n v="130691"/>
    <n v="29572"/>
    <n v="36144"/>
    <m/>
    <n v="65716"/>
  </r>
  <r>
    <x v="0"/>
    <s v="GC7 combined grant - Title: Focused and differentiated TB/HIV prevention and treatment in Sudan"/>
    <s v="HIV/AIDS management services"/>
    <x v="8"/>
    <s v="Khartoum"/>
    <n v="13272.370199999999"/>
    <n v="16221.785799999998"/>
    <m/>
    <n v="29494.155999999995"/>
    <n v="4281"/>
    <n v="5232"/>
    <m/>
    <n v="9513"/>
    <n v="79634.25"/>
    <n v="97330.750000000015"/>
    <m/>
    <n v="176965"/>
    <n v="17123"/>
    <n v="20929"/>
    <m/>
    <n v="38052"/>
  </r>
  <r>
    <x v="0"/>
    <s v="GC7 combined grant - Title: Focused and differentiated TB/HIV prevention and treatment in Sudan"/>
    <s v="HIV/AIDS management services"/>
    <x v="9"/>
    <s v="Medani Al Kubra"/>
    <n v="13516.614225000001"/>
    <n v="16520.306274999999"/>
    <m/>
    <n v="30036.9205"/>
    <n v="7362"/>
    <n v="8999"/>
    <m/>
    <n v="16361"/>
    <n v="81099.900000000009"/>
    <n v="99122.1"/>
    <m/>
    <n v="180222"/>
    <n v="29450"/>
    <n v="35994"/>
    <m/>
    <n v="65444"/>
  </r>
  <r>
    <x v="0"/>
    <s v="GC7 combined grant - Title: Focused and differentiated TB/HIV prevention and treatment in Sudan"/>
    <s v="HIV/AIDS management services"/>
    <x v="10"/>
    <s v="Sheikan"/>
    <n v="2797.65"/>
    <n v="3419.35"/>
    <m/>
    <n v="6217"/>
    <n v="5199"/>
    <n v="6355"/>
    <m/>
    <n v="11554"/>
    <n v="16785.900000000001"/>
    <n v="20516.100000000002"/>
    <m/>
    <n v="37302"/>
    <n v="20797"/>
    <n v="25419"/>
    <m/>
    <n v="46216"/>
  </r>
  <r>
    <x v="0"/>
    <s v="GC7 combined grant - Title: Focused and differentiated TB/HIV prevention and treatment in Sudan"/>
    <s v="HIV/AIDS management services"/>
    <x v="11"/>
    <s v="Kadugli"/>
    <n v="208.8"/>
    <n v="255.2"/>
    <m/>
    <n v="464"/>
    <n v="53"/>
    <n v="65"/>
    <m/>
    <n v="118"/>
    <n v="1252.8"/>
    <n v="1531.2"/>
    <m/>
    <n v="2784"/>
    <n v="212"/>
    <n v="260"/>
    <m/>
    <n v="472"/>
  </r>
  <r>
    <x v="0"/>
    <s v="GC7 combined grant - Title: Focused and differentiated TB/HIV prevention and treatment in Sudan"/>
    <s v="HIV/AIDS management services"/>
    <x v="12"/>
    <s v="Nyala Janoub"/>
    <n v="1323.45"/>
    <n v="1617.55"/>
    <m/>
    <n v="2941"/>
    <n v="783"/>
    <n v="958"/>
    <m/>
    <n v="1741"/>
    <n v="7940.7"/>
    <n v="9705.3000000000011"/>
    <m/>
    <n v="17646"/>
    <n v="3134"/>
    <n v="3830"/>
    <m/>
    <n v="6964"/>
  </r>
  <r>
    <x v="0"/>
    <s v="GC7 combined grant - Title: Focused and differentiated TB/HIV prevention and treatment in Sudan"/>
    <s v="HIV/AIDS management services"/>
    <x v="13"/>
    <s v="Al Fasher"/>
    <n v="92.25"/>
    <n v="112.75"/>
    <m/>
    <n v="205"/>
    <n v="140"/>
    <n v="172"/>
    <m/>
    <n v="312"/>
    <n v="553.5"/>
    <n v="676.5"/>
    <m/>
    <n v="1230"/>
    <n v="562"/>
    <n v="686"/>
    <m/>
    <n v="1248"/>
  </r>
  <r>
    <x v="0"/>
    <s v="GC7 combined grant - Title: Focused and differentiated TB/HIV prevention and treatment in Sudan"/>
    <s v="HIV/AIDS management services"/>
    <x v="14"/>
    <s v="Ad Du'ayn"/>
    <n v="80.55"/>
    <n v="98.45"/>
    <m/>
    <n v="179"/>
    <n v="54"/>
    <n v="65"/>
    <m/>
    <n v="119"/>
    <n v="483.3"/>
    <n v="590.70000000000005"/>
    <m/>
    <n v="1074"/>
    <n v="428"/>
    <n v="524"/>
    <m/>
    <n v="952"/>
  </r>
  <r>
    <x v="0"/>
    <s v="GC7 combined grant - Title: Focused and differentiated TB/HIV prevention and treatment in Sudan"/>
    <s v="HIV/AIDS management services"/>
    <x v="15"/>
    <s v="Ag Geneina"/>
    <n v="0"/>
    <n v="0"/>
    <m/>
    <n v="0"/>
    <n v="0"/>
    <n v="0"/>
    <m/>
    <n v="0"/>
    <n v="0"/>
    <n v="0"/>
    <m/>
    <n v="0"/>
    <n v="0"/>
    <n v="0"/>
    <m/>
    <n v="0"/>
  </r>
  <r>
    <x v="0"/>
    <s v="GC7 combined grant - Title: Focused and differentiated TB/HIV prevention and treatment in Sudan"/>
    <s v="HIV/AIDS management services"/>
    <x v="15"/>
    <s v="Ag Geneina"/>
    <n v="0"/>
    <n v="0"/>
    <m/>
    <n v="0"/>
    <n v="0"/>
    <n v="0"/>
    <m/>
    <n v="0"/>
    <n v="0"/>
    <n v="0"/>
    <m/>
    <n v="0"/>
    <n v="0"/>
    <n v="0"/>
    <m/>
    <n v="0"/>
  </r>
  <r>
    <x v="0"/>
    <s v="GC7 combined grant - Title: Focused and differentiated TB/HIV prevention and treatment in Sudan"/>
    <s v="HIV/AIDS management services"/>
    <x v="15"/>
    <s v="Ag Geneina"/>
    <n v="0"/>
    <n v="0"/>
    <m/>
    <n v="0"/>
    <n v="0"/>
    <n v="0"/>
    <m/>
    <n v="0"/>
    <n v="0"/>
    <n v="0"/>
    <m/>
    <n v="0"/>
    <n v="0"/>
    <n v="0"/>
    <m/>
    <n v="0"/>
  </r>
  <r>
    <x v="0"/>
    <s v="COVID-19 Response Mechanism-UNDP-SDN-00129300"/>
    <s v="Improve Access to Health Services"/>
    <x v="1"/>
    <s v="Dongola"/>
    <n v="624130"/>
    <n v="762826"/>
    <m/>
    <n v="1386956"/>
    <n v="280859"/>
    <n v="343947"/>
    <m/>
    <n v="624806"/>
    <n v="936195"/>
    <n v="1144239"/>
    <m/>
    <n v="2080434"/>
    <n v="421288"/>
    <n v="514908"/>
    <m/>
    <n v="936195"/>
  </r>
  <r>
    <x v="0"/>
    <s v="COVID-19 Response Mechanism-UNDP-SDN-00129301"/>
    <s v="Improve Access to Health Services"/>
    <x v="4"/>
    <s v="Madeinat Kassala"/>
    <n v="1298906"/>
    <n v="1587551"/>
    <m/>
    <n v="2886457"/>
    <n v="584508"/>
    <n v="714398"/>
    <m/>
    <n v="1298906"/>
    <n v="1948358"/>
    <n v="2381327"/>
    <m/>
    <n v="4329685"/>
    <n v="876761"/>
    <n v="1071597"/>
    <m/>
    <n v="1948358"/>
  </r>
  <r>
    <x v="0"/>
    <s v="COVID-19 Response Mechanism-UNDP-SDN-00129302"/>
    <s v="Improve Access to Health Services"/>
    <x v="5"/>
    <s v="Rabak"/>
    <n v="1398608"/>
    <n v="1709410"/>
    <m/>
    <n v="3108018"/>
    <n v="629374"/>
    <n v="769235"/>
    <m/>
    <n v="1398608"/>
    <n v="2097912"/>
    <n v="2564115"/>
    <m/>
    <n v="4662027"/>
    <n v="944060"/>
    <n v="1654"/>
    <m/>
    <n v="0"/>
  </r>
  <r>
    <x v="0"/>
    <s v="COVID-19 Response Mechanism-UNDP-SDN-00129303"/>
    <s v="Improve Access to Health Services"/>
    <x v="3"/>
    <s v="Madeinat Al Gedaref"/>
    <n v="1255010"/>
    <n v="1533901"/>
    <m/>
    <n v="2788911"/>
    <n v="564755"/>
    <n v="690255"/>
    <m/>
    <n v="1255010"/>
    <n v="1882515"/>
    <n v="2300852"/>
    <m/>
    <n v="4183367"/>
    <n v="847132"/>
    <n v="613"/>
    <m/>
    <n v="478964"/>
  </r>
  <r>
    <x v="0"/>
    <s v="Eastern Sudan Hospitals Improvements Project # 00105361"/>
    <s v="Improve Access to Health Services"/>
    <x v="4"/>
    <s v="Halfa"/>
    <n v="765000"/>
    <n v="735000"/>
    <m/>
    <n v="1500000"/>
    <n v="0"/>
    <n v="0"/>
    <m/>
    <n v="0"/>
    <n v="0"/>
    <n v="0"/>
    <m/>
    <n v="0"/>
    <n v="0"/>
    <n v="0"/>
    <m/>
    <n v="0"/>
  </r>
  <r>
    <x v="0"/>
    <s v="Procurement Support to FMOH2-UNDP-SDN-00125478"/>
    <s v="Supply of insulin for diabetic patients"/>
    <x v="8"/>
    <s v="Khartoum"/>
    <n v="20250"/>
    <n v="24750"/>
    <m/>
    <n v="45000"/>
    <n v="20250"/>
    <n v="24750"/>
    <m/>
    <n v="45000"/>
    <n v="0"/>
    <n v="0"/>
    <m/>
    <n v="0"/>
    <n v="0"/>
    <n v="0"/>
    <m/>
    <n v="0"/>
  </r>
  <r>
    <x v="0"/>
    <s v="Support National Medical Supplies Fund (NMSF) for Procurement of Life Saving Medicines"/>
    <s v="Improve Access to Health Services"/>
    <x v="8"/>
    <s v="Khartoum"/>
    <n v="0"/>
    <n v="0"/>
    <m/>
    <n v="0"/>
    <n v="0"/>
    <n v="0"/>
    <m/>
    <n v="0"/>
    <n v="0"/>
    <n v="0"/>
    <m/>
    <n v="0"/>
    <n v="0"/>
    <n v="0"/>
    <m/>
    <n v="0"/>
  </r>
  <r>
    <x v="1"/>
    <s v="Project Name"/>
    <s v="Intervention"/>
    <x v="16"/>
    <s v="Location "/>
    <s v="Direct Ben Female"/>
    <s v="Direct Ben Male"/>
    <m/>
    <s v="Total Direct "/>
    <s v="Actual Female"/>
    <s v="Actual Male"/>
    <m/>
    <s v="Actual F+M"/>
    <s v="Indirect Ben Female"/>
    <s v="Indirect Ben Male"/>
    <m/>
    <s v="Total indirect "/>
    <s v="Actual Female"/>
    <s v="Actual Male"/>
    <m/>
    <s v="Actual F+M"/>
  </r>
  <r>
    <x v="1"/>
    <s v="SIRI - Addressing Live Saving - CERF"/>
    <s v="Cash for work"/>
    <x v="9"/>
    <s v="Medani Al Kubra"/>
    <n v="500"/>
    <n v="500"/>
    <m/>
    <n v="1000"/>
    <n v="314"/>
    <n v="841"/>
    <m/>
    <n v="1155"/>
    <n v="3000"/>
    <n v="3000"/>
    <m/>
    <n v="6000"/>
    <n v="1884"/>
    <n v="5046"/>
    <m/>
    <n v="6930"/>
  </r>
  <r>
    <x v="1"/>
    <s v="SIRI - Addressing Live Saving - CERF"/>
    <s v="Solar Pumping"/>
    <x v="9"/>
    <s v="Medani Al Kubra"/>
    <n v="30000"/>
    <n v="30000"/>
    <m/>
    <n v="60000"/>
    <n v="81376"/>
    <n v="96064"/>
    <m/>
    <n v="177440"/>
    <n v="0"/>
    <n v="0"/>
    <m/>
    <n v="0"/>
    <n v="0"/>
    <n v="0"/>
    <m/>
    <n v="0"/>
  </r>
  <r>
    <x v="1"/>
    <s v="SIRI - Addressing Live Saving - CERF"/>
    <s v="Solar Pumping"/>
    <x v="9"/>
    <s v="Um Algura"/>
    <n v="30000"/>
    <n v="30000"/>
    <m/>
    <n v="60000"/>
    <n v="22016"/>
    <n v="33024"/>
    <m/>
    <n v="55040"/>
    <n v="0"/>
    <n v="0"/>
    <m/>
    <n v="0"/>
    <n v="0"/>
    <n v="0"/>
    <m/>
    <n v="0"/>
  </r>
  <r>
    <x v="1"/>
    <s v="SIRI - Addressing Live Saving - CERF"/>
    <s v="Solar Pumping"/>
    <x v="9"/>
    <s v="Tambul"/>
    <n v="30000"/>
    <n v="30000"/>
    <m/>
    <n v="60000"/>
    <n v="6464"/>
    <n v="9696"/>
    <m/>
    <n v="16160"/>
    <n v="0"/>
    <n v="0"/>
    <m/>
    <n v="0"/>
    <n v="0"/>
    <n v="0"/>
    <m/>
    <n v="0"/>
  </r>
  <r>
    <x v="1"/>
    <s v="SIRI - Addressing Urgent Needs of IDPs - Italy"/>
    <s v="Water/Yard Rehabilitation &amp; Solarization"/>
    <x v="3"/>
    <s v="Gala'a Al Nahal"/>
    <n v="900"/>
    <n v="700"/>
    <m/>
    <n v="1600"/>
    <n v="900"/>
    <n v="700"/>
    <m/>
    <n v="1600"/>
    <n v="5400"/>
    <n v="4200"/>
    <m/>
    <n v="9600"/>
    <n v="5400"/>
    <n v="4200"/>
    <m/>
    <n v="9600"/>
  </r>
  <r>
    <x v="1"/>
    <s v="SIRI - Addressing Urgent Needs of IDPs - Italy"/>
    <s v="Solar Streetlight"/>
    <x v="3"/>
    <s v="Gala'a Al Nahal"/>
    <n v="900"/>
    <n v="600"/>
    <m/>
    <n v="1500"/>
    <n v="0"/>
    <n v="0"/>
    <m/>
    <n v="0"/>
    <n v="5400"/>
    <n v="3600"/>
    <m/>
    <n v="9000"/>
    <n v="0"/>
    <n v="0"/>
    <m/>
    <n v="0"/>
  </r>
  <r>
    <x v="1"/>
    <s v="SIRI - Addressing Urgent Needs of IDPs - Italy"/>
    <s v="Solar Streetlight"/>
    <x v="3"/>
    <s v="Gurisha"/>
    <n v="900"/>
    <n v="600"/>
    <m/>
    <n v="1500"/>
    <n v="0"/>
    <n v="0"/>
    <m/>
    <n v="0"/>
    <n v="5400"/>
    <n v="3600"/>
    <m/>
    <n v="9000"/>
    <n v="0"/>
    <n v="0"/>
    <m/>
    <n v="0"/>
  </r>
  <r>
    <x v="1"/>
    <s v="SIRI - Addressing Urgent Needs of IDPs - Italy"/>
    <s v="CMC/CBRM/Conflict Resolution Mechanisms"/>
    <x v="3"/>
    <s v="Gurisha"/>
    <n v="2"/>
    <n v="3"/>
    <m/>
    <n v="5"/>
    <n v="0"/>
    <n v="0"/>
    <m/>
    <n v="0"/>
    <n v="1000"/>
    <n v="500"/>
    <m/>
    <n v="1500"/>
    <n v="0"/>
    <n v="0"/>
    <m/>
    <n v="0"/>
  </r>
  <r>
    <x v="1"/>
    <s v="SIRI - Addressing Urgent Needs of IDPs - Italy"/>
    <s v="CMC/CBRM/Conflict Resolution Mechanisms"/>
    <x v="3"/>
    <s v="Gala'a Al Nahal"/>
    <n v="2"/>
    <n v="3"/>
    <m/>
    <n v="5"/>
    <n v="0"/>
    <n v="0"/>
    <m/>
    <n v="0"/>
    <n v="1000"/>
    <n v="500"/>
    <m/>
    <n v="1500"/>
    <n v="0"/>
    <n v="0"/>
    <m/>
    <n v="0"/>
  </r>
  <r>
    <x v="1"/>
    <s v="SIRI - Addressing Urgent Needs of IDPs - Italy"/>
    <s v="CMC/CBRM/Conflict Resolution Mechanisms"/>
    <x v="4"/>
    <s v="Halfa Aj Jadeedah"/>
    <n v="2"/>
    <n v="3"/>
    <m/>
    <n v="5"/>
    <n v="4"/>
    <n v="6"/>
    <m/>
    <n v="10"/>
    <n v="1000"/>
    <n v="500"/>
    <m/>
    <n v="1500"/>
    <n v="1000"/>
    <n v="500"/>
    <m/>
    <n v="1500"/>
  </r>
  <r>
    <x v="1"/>
    <s v="SIRI - Addressing Urgent Needs of IDPs - Italy"/>
    <s v="Productive/Critical Infrastructure"/>
    <x v="4"/>
    <s v="Halfa Aj Jadeedah"/>
    <n v="750"/>
    <n v="750"/>
    <m/>
    <n v="1500"/>
    <n v="0"/>
    <n v="0"/>
    <m/>
    <n v="0"/>
    <n v="4500"/>
    <n v="4500"/>
    <m/>
    <n v="9000"/>
    <n v="0"/>
    <n v="0"/>
    <m/>
    <n v="0"/>
  </r>
  <r>
    <x v="1"/>
    <s v="SIRI - Addressing Urgent Needs of IDPs - Italy"/>
    <s v="CMC/CBRM/Conflict Resolution Mechanisms"/>
    <x v="4"/>
    <s v="Halfa Aj Jadeedah"/>
    <n v="14"/>
    <n v="30"/>
    <m/>
    <n v="44"/>
    <n v="14"/>
    <n v="26"/>
    <m/>
    <n v="40"/>
    <n v="4500"/>
    <n v="4500"/>
    <m/>
    <n v="9000"/>
    <n v="4500"/>
    <n v="4500"/>
    <m/>
    <n v="9000"/>
  </r>
  <r>
    <x v="1"/>
    <s v="SIRI - Addressing Urgent Needs of IDPs - Italy"/>
    <s v="Strengthen Social Cohesion"/>
    <x v="4"/>
    <s v="Halfa Aj Jadeedah"/>
    <n v="500"/>
    <n v="500"/>
    <m/>
    <n v="1000"/>
    <n v="0"/>
    <n v="0"/>
    <m/>
    <n v="0"/>
    <n v="3000"/>
    <n v="3000"/>
    <m/>
    <n v="6000"/>
    <n v="0"/>
    <n v="0"/>
    <m/>
    <n v="0"/>
  </r>
  <r>
    <x v="1"/>
    <s v="SIRI - Addressing Urgent Needs of IDPs - Italy"/>
    <s v="Capacity building/vocational training/training"/>
    <x v="4"/>
    <s v="Halfa Aj Jadeedah"/>
    <n v="12"/>
    <n v="13"/>
    <m/>
    <n v="25"/>
    <n v="0"/>
    <n v="0"/>
    <m/>
    <n v="0"/>
    <n v="72"/>
    <n v="78"/>
    <m/>
    <n v="150"/>
    <n v="0"/>
    <n v="0"/>
    <m/>
    <n v="0"/>
  </r>
  <r>
    <x v="1"/>
    <s v="SIRI - Addressing Urgent Needs of IDPs - Italy"/>
    <s v="Agricultural production system"/>
    <x v="4"/>
    <s v="Halfa Aj Jadeedah"/>
    <n v="410"/>
    <n v="290"/>
    <m/>
    <n v="700"/>
    <n v="0"/>
    <n v="0"/>
    <m/>
    <n v="0"/>
    <n v="2460"/>
    <n v="1740"/>
    <m/>
    <n v="4200"/>
    <n v="0"/>
    <n v="0"/>
    <m/>
    <n v="0"/>
  </r>
  <r>
    <x v="1"/>
    <s v="SIRI - Addressing Urgent Needs of IDPs - Italy"/>
    <s v="Capacity building/vocational training/training"/>
    <x v="4"/>
    <s v="Halfa Aj Jadeedah"/>
    <n v="410"/>
    <n v="290"/>
    <m/>
    <n v="700"/>
    <n v="0"/>
    <n v="0"/>
    <m/>
    <n v="0"/>
    <n v="2460"/>
    <n v="1740"/>
    <m/>
    <n v="4200"/>
    <n v="0"/>
    <n v="0"/>
    <m/>
    <n v="0"/>
  </r>
  <r>
    <x v="1"/>
    <s v="SIRI - Addressing Urgent Needs of IDPs - Italy"/>
    <s v="Climate resilience initiatives/adaptive agriculture initiatives"/>
    <x v="4"/>
    <s v="Halfa Aj Jadeedah"/>
    <n v="300"/>
    <n v="0"/>
    <m/>
    <n v="300"/>
    <n v="0"/>
    <n v="0"/>
    <m/>
    <n v="0"/>
    <n v="1800"/>
    <n v="0"/>
    <m/>
    <n v="1800"/>
    <n v="0"/>
    <n v="0"/>
    <m/>
    <n v="0"/>
  </r>
  <r>
    <x v="1"/>
    <s v="SIRI - Addressing Urgent Needs of IDPs - Italy"/>
    <s v="Employment/Temporary jobs/Entrepreneurial Opportunities"/>
    <x v="4"/>
    <s v="Halfa Aj Jadeedah"/>
    <n v="240"/>
    <n v="135"/>
    <m/>
    <n v="375"/>
    <n v="0"/>
    <n v="0"/>
    <m/>
    <n v="0"/>
    <n v="1440"/>
    <n v="810"/>
    <m/>
    <n v="2250"/>
    <n v="0"/>
    <n v="0"/>
    <m/>
    <n v="0"/>
  </r>
  <r>
    <x v="1"/>
    <s v="SIRI - Addressing Urgent Needs of IDPs - Italy"/>
    <s v="Employment/Temporary jobs/Entrepreneurial Opportunities"/>
    <x v="4"/>
    <s v="Halfa Aj Jadeedah"/>
    <n v="100"/>
    <n v="0"/>
    <m/>
    <n v="100"/>
    <n v="0"/>
    <n v="0"/>
    <m/>
    <n v="0"/>
    <n v="600"/>
    <n v="0"/>
    <m/>
    <n v="600"/>
    <n v="0"/>
    <n v="0"/>
    <m/>
    <n v="0"/>
  </r>
  <r>
    <x v="1"/>
    <s v="SIRI - Addressing Urgent Needs of IDPs - Italy"/>
    <s v="CMC/CBRM/Conflict Resolution Mechanisms"/>
    <x v="4"/>
    <s v="Halfa Aj Jadeedah"/>
    <n v="8"/>
    <n v="12"/>
    <m/>
    <n v="20"/>
    <n v="8"/>
    <n v="12"/>
    <m/>
    <n v="20"/>
    <n v="48"/>
    <n v="72"/>
    <m/>
    <n v="120"/>
    <n v="48"/>
    <n v="72"/>
    <m/>
    <n v="120"/>
  </r>
  <r>
    <x v="1"/>
    <s v="SIRI - Addressing Urgent Needs of IDPs - Italy"/>
    <s v="Improve Access to Health Services"/>
    <x v="4"/>
    <s v="Halfa Aj Jadeedah"/>
    <n v="900"/>
    <n v="700"/>
    <m/>
    <n v="1600"/>
    <n v="900"/>
    <n v="700"/>
    <m/>
    <n v="1600"/>
    <n v="5400"/>
    <n v="4200"/>
    <m/>
    <n v="9600"/>
    <n v="5400"/>
    <n v="4200"/>
    <m/>
    <n v="9600"/>
  </r>
  <r>
    <x v="1"/>
    <s v="SIRI - Addressing Urgent Needs of IDPs - Italy"/>
    <s v="Water/Yard Rehabilitation &amp; Solarization"/>
    <x v="4"/>
    <s v="Reifi Khashm Elgirba"/>
    <n v="900"/>
    <n v="700"/>
    <m/>
    <n v="1600"/>
    <n v="900"/>
    <n v="700"/>
    <m/>
    <n v="1600"/>
    <n v="5400"/>
    <n v="4200"/>
    <m/>
    <n v="9600"/>
    <n v="5400"/>
    <n v="4200"/>
    <m/>
    <n v="9600"/>
  </r>
  <r>
    <x v="1"/>
    <s v="SIRI - Addressing Urgent Needs of IDPs - Italy"/>
    <s v="CMC/CBRM/Conflict Resolution Mechanisms"/>
    <x v="4"/>
    <s v="Reifi Khashm Elgirba"/>
    <n v="2"/>
    <n v="3"/>
    <m/>
    <n v="5"/>
    <n v="2"/>
    <n v="3"/>
    <m/>
    <n v="5"/>
    <n v="1000"/>
    <n v="500"/>
    <m/>
    <n v="1500"/>
    <n v="1000"/>
    <n v="500"/>
    <m/>
    <n v="1500"/>
  </r>
  <r>
    <x v="1"/>
    <s v="SIRI - Addressing Urgent Needs of IDPs - Italy"/>
    <s v="Productive/Critical Infrastructure"/>
    <x v="4"/>
    <s v="Reifi Khashm Elgirba"/>
    <n v="750"/>
    <n v="750"/>
    <m/>
    <n v="1500"/>
    <n v="0"/>
    <n v="0"/>
    <m/>
    <n v="0"/>
    <n v="4500"/>
    <n v="4500"/>
    <m/>
    <n v="9000"/>
    <n v="0"/>
    <n v="0"/>
    <m/>
    <n v="0"/>
  </r>
  <r>
    <x v="1"/>
    <s v="SIRI - Addressing Urgent Needs of IDPs - Italy"/>
    <s v="Solar Kit Distribution"/>
    <x v="4"/>
    <s v="Reifi Khashm Elgirba"/>
    <n v="36"/>
    <n v="24"/>
    <m/>
    <n v="60"/>
    <n v="0"/>
    <n v="0"/>
    <m/>
    <n v="0"/>
    <n v="216"/>
    <n v="144"/>
    <m/>
    <n v="360"/>
    <n v="0"/>
    <n v="0"/>
    <m/>
    <n v="0"/>
  </r>
  <r>
    <x v="1"/>
    <s v="SIRI - Addressing Urgent Needs of IDPs - Italy"/>
    <s v="Service Delivery"/>
    <x v="4"/>
    <s v="Reifi Khashm Elgirba"/>
    <n v="200"/>
    <n v="100"/>
    <m/>
    <n v="300"/>
    <n v="200"/>
    <n v="100"/>
    <m/>
    <n v="300"/>
    <n v="1200"/>
    <n v="600"/>
    <m/>
    <n v="1800"/>
    <n v="1200"/>
    <n v="600"/>
    <m/>
    <n v="1800"/>
  </r>
  <r>
    <x v="1"/>
    <s v="SIRI - Addressing Urgent Needs of IDPs - Italy"/>
    <s v="CMC/CBRM/Conflict Resolution Mechanisms"/>
    <x v="4"/>
    <s v="Reifi Khashm Elgirba"/>
    <n v="14"/>
    <n v="30"/>
    <m/>
    <n v="44"/>
    <n v="14"/>
    <n v="26"/>
    <m/>
    <n v="40"/>
    <n v="4500"/>
    <n v="4500"/>
    <m/>
    <n v="9000"/>
    <n v="4500"/>
    <n v="4500"/>
    <m/>
    <n v="9000"/>
  </r>
  <r>
    <x v="1"/>
    <s v="SIRI - Addressing Urgent Needs of IDPs - Italy"/>
    <s v="Strengthen Social Cohesion"/>
    <x v="4"/>
    <s v="Reifi Khashm Elgirba"/>
    <n v="500"/>
    <n v="500"/>
    <m/>
    <n v="1000"/>
    <n v="0"/>
    <n v="0"/>
    <m/>
    <n v="0"/>
    <n v="3000"/>
    <n v="3000"/>
    <m/>
    <n v="6000"/>
    <n v="0"/>
    <n v="0"/>
    <m/>
    <n v="0"/>
  </r>
  <r>
    <x v="1"/>
    <s v="SIRI - Addressing Urgent Needs of IDPs - Italy"/>
    <s v="Capacity building/vocational training/training"/>
    <x v="4"/>
    <s v="Reifi Khashm Elgirba"/>
    <n v="12"/>
    <n v="13"/>
    <m/>
    <n v="25"/>
    <n v="0"/>
    <n v="0"/>
    <m/>
    <n v="0"/>
    <n v="72"/>
    <n v="78"/>
    <m/>
    <n v="150"/>
    <n v="0"/>
    <n v="0"/>
    <m/>
    <n v="0"/>
  </r>
  <r>
    <x v="1"/>
    <s v="SIRI - Addressing Urgent Needs of IDPs - Italy"/>
    <s v="Agricultural production system"/>
    <x v="4"/>
    <s v="Reifi Khashm Elgirba"/>
    <n v="410"/>
    <n v="290"/>
    <m/>
    <n v="700"/>
    <n v="0"/>
    <n v="0"/>
    <m/>
    <n v="0"/>
    <n v="2460"/>
    <n v="1740"/>
    <m/>
    <n v="4200"/>
    <n v="0"/>
    <n v="0"/>
    <m/>
    <n v="0"/>
  </r>
  <r>
    <x v="1"/>
    <s v="SIRI - Addressing Urgent Needs of IDPs - Italy"/>
    <s v="Capacity building/vocational training/training"/>
    <x v="4"/>
    <s v="Reifi Khashm Elgirba"/>
    <n v="410"/>
    <n v="290"/>
    <m/>
    <n v="700"/>
    <n v="0"/>
    <n v="0"/>
    <m/>
    <n v="0"/>
    <n v="2460"/>
    <n v="1740"/>
    <m/>
    <n v="4200"/>
    <n v="0"/>
    <n v="0"/>
    <m/>
    <n v="0"/>
  </r>
  <r>
    <x v="1"/>
    <s v="SIRI - Addressing Urgent Needs of IDPs - Italy"/>
    <s v="Climate resilience initiatives/adaptive agriculture initiatives"/>
    <x v="4"/>
    <s v="Reifi Khashm Elgirba"/>
    <n v="300"/>
    <n v="0"/>
    <m/>
    <n v="300"/>
    <n v="0"/>
    <n v="0"/>
    <m/>
    <n v="0"/>
    <n v="1800"/>
    <n v="0"/>
    <m/>
    <n v="1800"/>
    <n v="0"/>
    <n v="0"/>
    <m/>
    <n v="0"/>
  </r>
  <r>
    <x v="1"/>
    <s v="SIRI - Addressing Urgent Needs of IDPs - Italy"/>
    <s v="Employment/Temporary jobs/Entrepreneurial Opportunities"/>
    <x v="4"/>
    <s v="Reifi Khashm Elgirba"/>
    <n v="240"/>
    <n v="135"/>
    <m/>
    <n v="375"/>
    <n v="0"/>
    <n v="0"/>
    <m/>
    <n v="0"/>
    <n v="1440"/>
    <n v="810"/>
    <m/>
    <n v="2250"/>
    <n v="0"/>
    <n v="0"/>
    <m/>
    <n v="0"/>
  </r>
  <r>
    <x v="1"/>
    <s v="SIRI - Addressing Urgent Needs of IDPs - Italy"/>
    <s v="Employment/Temporary jobs/Entrepreneurial Opportunities"/>
    <x v="4"/>
    <s v="Reifi Khashm Elgirba"/>
    <n v="100"/>
    <n v="0"/>
    <m/>
    <n v="100"/>
    <n v="0"/>
    <n v="0"/>
    <m/>
    <n v="0"/>
    <n v="600"/>
    <n v="0"/>
    <m/>
    <n v="600"/>
    <n v="0"/>
    <n v="0"/>
    <m/>
    <n v="0"/>
  </r>
  <r>
    <x v="1"/>
    <s v="SIRI - Addressing Urgent Needs of IDPs - Italy"/>
    <s v="CMC/CBRM/Conflict Resolution Mechanisms"/>
    <x v="4"/>
    <s v="Reifi Khashm Elgirba"/>
    <n v="8"/>
    <n v="12"/>
    <m/>
    <n v="20"/>
    <n v="8"/>
    <n v="12"/>
    <m/>
    <n v="20"/>
    <n v="48"/>
    <n v="72"/>
    <m/>
    <n v="120"/>
    <n v="48"/>
    <n v="72"/>
    <m/>
    <n v="120"/>
  </r>
  <r>
    <x v="1"/>
    <s v="SIRI - Addressing Urgent Needs of IDPs - Italy"/>
    <s v="Improve Access to Health Services"/>
    <x v="4"/>
    <s v="Reifi Khashm Elgirba"/>
    <n v="900"/>
    <n v="700"/>
    <m/>
    <n v="1600"/>
    <n v="900"/>
    <n v="700"/>
    <m/>
    <n v="1600"/>
    <n v="5400"/>
    <n v="4200"/>
    <m/>
    <n v="9600"/>
    <n v="5400"/>
    <n v="4200"/>
    <m/>
    <n v="9600"/>
  </r>
  <r>
    <x v="1"/>
    <s v="SIRI - Employment and Self Employment - EAA"/>
    <s v="Agricultural production system"/>
    <x v="3"/>
    <s v="Madeinat Al Gedaref"/>
    <n v="2120"/>
    <n v="3180"/>
    <m/>
    <n v="5300"/>
    <n v="2120"/>
    <n v="3180"/>
    <m/>
    <n v="5300"/>
    <n v="12720"/>
    <n v="57240"/>
    <m/>
    <n v="69960"/>
    <n v="12720"/>
    <n v="57240"/>
    <m/>
    <n v="69960"/>
  </r>
  <r>
    <x v="1"/>
    <s v="SIRI - Employment and Self Employment - EAA"/>
    <s v="Capacity building/vocational training/training"/>
    <x v="3"/>
    <s v="Madeinat Al Gedaref"/>
    <n v="720"/>
    <n v="1080"/>
    <m/>
    <n v="1800"/>
    <n v="720"/>
    <n v="1080"/>
    <m/>
    <n v="1800"/>
    <n v="4320"/>
    <n v="19440"/>
    <m/>
    <n v="23760"/>
    <n v="4320"/>
    <n v="19440"/>
    <m/>
    <n v="23760"/>
  </r>
  <r>
    <x v="1"/>
    <s v="SIRI - Employment and Self Employment - EAA"/>
    <s v="Cash for work"/>
    <x v="3"/>
    <s v="Madeinat Al Gedaref"/>
    <n v="200"/>
    <n v="300"/>
    <m/>
    <n v="500"/>
    <n v="200"/>
    <n v="300"/>
    <m/>
    <n v="500"/>
    <n v="1200"/>
    <n v="5400"/>
    <m/>
    <n v="6600"/>
    <n v="1200"/>
    <n v="5400"/>
    <m/>
    <n v="6600"/>
  </r>
  <r>
    <x v="1"/>
    <s v="SIRI - Employment and Self Employment - EAA"/>
    <s v="CMC/CBRM/Conflict Resolution Mechanisms"/>
    <x v="3"/>
    <s v="Madeinat Al Gedaref"/>
    <n v="30"/>
    <n v="45"/>
    <m/>
    <n v="75"/>
    <n v="30"/>
    <n v="45"/>
    <m/>
    <n v="75"/>
    <n v="180"/>
    <n v="810"/>
    <m/>
    <n v="990"/>
    <n v="180"/>
    <n v="810"/>
    <m/>
    <n v="990"/>
  </r>
  <r>
    <x v="1"/>
    <s v="SIRI - Employment and Self Employment - EAA"/>
    <s v="Employment/Temporary jobs/Entrepreneurial Opportunities"/>
    <x v="3"/>
    <s v="Madeinat Al Gedaref"/>
    <n v="555"/>
    <n v="832"/>
    <m/>
    <n v="1387"/>
    <n v="555"/>
    <n v="832"/>
    <m/>
    <n v="1387"/>
    <n v="3328.8"/>
    <n v="14978.880000000001"/>
    <m/>
    <n v="18307.68"/>
    <n v="3328.8"/>
    <n v="14978.880000000001"/>
    <m/>
    <n v="18307.68"/>
  </r>
  <r>
    <x v="1"/>
    <s v="SIRI - Employment and Self Employment - EAA"/>
    <s v="Agricultural production system"/>
    <x v="3"/>
    <s v="Wasat Al Gedaref"/>
    <n v="2120"/>
    <n v="3180"/>
    <m/>
    <n v="5300"/>
    <n v="2120"/>
    <n v="3180"/>
    <m/>
    <n v="5300"/>
    <n v="12720"/>
    <n v="57240"/>
    <m/>
    <n v="69960"/>
    <n v="12720"/>
    <n v="57240"/>
    <m/>
    <n v="69960"/>
  </r>
  <r>
    <x v="1"/>
    <s v="SIRI - Employment and Self Employment - EAA"/>
    <s v="Capacity building/vocational training/training"/>
    <x v="3"/>
    <s v="Wasat Al Gedaref"/>
    <n v="720"/>
    <n v="1080"/>
    <m/>
    <n v="1800"/>
    <n v="720"/>
    <n v="1080"/>
    <m/>
    <n v="1800"/>
    <n v="4320"/>
    <n v="19440"/>
    <m/>
    <n v="23760"/>
    <n v="4320"/>
    <n v="19440"/>
    <m/>
    <n v="23760"/>
  </r>
  <r>
    <x v="1"/>
    <s v="SIRI - Employment and Self Employment - EAA"/>
    <s v="Cash for work"/>
    <x v="3"/>
    <s v="Wasat Al Gedaref"/>
    <n v="200"/>
    <n v="300"/>
    <m/>
    <n v="500"/>
    <n v="200"/>
    <n v="300"/>
    <m/>
    <n v="500"/>
    <n v="1200"/>
    <n v="5400"/>
    <m/>
    <n v="6600"/>
    <n v="1200"/>
    <n v="5400"/>
    <m/>
    <n v="6600"/>
  </r>
  <r>
    <x v="1"/>
    <s v="SIRI - Employment and Self Employment - EAA"/>
    <s v="CMC/CBRM/Conflict Resolution Mechanisms"/>
    <x v="3"/>
    <s v="Wasat Al Gedaref"/>
    <n v="30"/>
    <n v="45"/>
    <m/>
    <n v="75"/>
    <n v="30"/>
    <n v="45"/>
    <m/>
    <n v="75"/>
    <n v="180"/>
    <n v="810"/>
    <m/>
    <n v="990"/>
    <n v="180"/>
    <n v="810"/>
    <m/>
    <n v="990"/>
  </r>
  <r>
    <x v="1"/>
    <s v="SIRI - Employment and Self Employment - EAA"/>
    <s v="Employment/Temporary jobs/Entrepreneurial Opportunities"/>
    <x v="3"/>
    <s v="Wasat Al Gedaref"/>
    <n v="555"/>
    <n v="832"/>
    <m/>
    <n v="1387"/>
    <n v="555"/>
    <n v="832"/>
    <m/>
    <n v="1387"/>
    <n v="3328.8"/>
    <n v="14978.880000000001"/>
    <m/>
    <n v="18307.68"/>
    <n v="3328.8"/>
    <n v="14978.880000000001"/>
    <m/>
    <n v="18307.68"/>
  </r>
  <r>
    <x v="1"/>
    <s v="SIRI - Employment and Self Employment - EAA"/>
    <s v="Agricultural production system"/>
    <x v="4"/>
    <s v="Halfa Aj Jadeedah"/>
    <n v="2120"/>
    <n v="3180"/>
    <m/>
    <n v="5300"/>
    <n v="2120"/>
    <n v="3180"/>
    <m/>
    <n v="5300"/>
    <n v="12720"/>
    <n v="57240"/>
    <m/>
    <n v="69960"/>
    <n v="12720"/>
    <n v="57240"/>
    <m/>
    <n v="69960"/>
  </r>
  <r>
    <x v="1"/>
    <s v="SIRI - Employment and Self Employment - EAA"/>
    <s v="Capacity building/vocational training/training"/>
    <x v="4"/>
    <s v="Halfa Aj Jadeedah"/>
    <n v="720"/>
    <n v="1080"/>
    <m/>
    <n v="1800"/>
    <n v="720"/>
    <n v="1080"/>
    <m/>
    <n v="1800"/>
    <n v="4320"/>
    <n v="19440"/>
    <m/>
    <n v="23760"/>
    <n v="4320"/>
    <n v="19440"/>
    <m/>
    <n v="23760"/>
  </r>
  <r>
    <x v="1"/>
    <s v="SIRI - Employment and Self Employment - EAA"/>
    <s v="Cash for work"/>
    <x v="4"/>
    <s v="Halfa Aj Jadeedah"/>
    <n v="200"/>
    <n v="300"/>
    <m/>
    <n v="500"/>
    <n v="200"/>
    <n v="300"/>
    <m/>
    <n v="500"/>
    <n v="1200"/>
    <n v="5400"/>
    <m/>
    <n v="6600"/>
    <n v="1200"/>
    <n v="5400"/>
    <m/>
    <n v="6600"/>
  </r>
  <r>
    <x v="1"/>
    <s v="SIRI - Employment and Self Employment - EAA"/>
    <s v="CMC/CBRM/Conflict Resolution Mechanisms"/>
    <x v="4"/>
    <s v="Halfa Aj Jadeedah"/>
    <n v="30"/>
    <n v="45"/>
    <m/>
    <n v="75"/>
    <n v="30"/>
    <n v="45"/>
    <m/>
    <n v="75"/>
    <n v="180"/>
    <n v="810"/>
    <m/>
    <n v="990"/>
    <n v="180"/>
    <n v="810"/>
    <m/>
    <n v="990"/>
  </r>
  <r>
    <x v="1"/>
    <s v="SIRI - Employment and Self Employment - EAA"/>
    <s v="Employment/Temporary jobs/Entrepreneurial Opportunities"/>
    <x v="4"/>
    <s v="Halfa Aj Jadeedah"/>
    <n v="555"/>
    <n v="832"/>
    <m/>
    <n v="1387"/>
    <n v="555"/>
    <n v="832"/>
    <m/>
    <n v="1387"/>
    <n v="3328.8"/>
    <n v="14978.880000000001"/>
    <m/>
    <n v="18307.68"/>
    <n v="3328.8"/>
    <n v="14978.880000000001"/>
    <m/>
    <n v="18307.68"/>
  </r>
  <r>
    <x v="1"/>
    <s v="SIRI - Employment and Self Employment - EAA"/>
    <s v="Agricultural production system"/>
    <x v="4"/>
    <s v="Reifi Wad Elhilaiw"/>
    <n v="2120"/>
    <n v="3180"/>
    <m/>
    <n v="5300"/>
    <n v="2120"/>
    <n v="3180"/>
    <m/>
    <n v="5300"/>
    <n v="12720"/>
    <n v="57240"/>
    <m/>
    <n v="69960"/>
    <n v="12720"/>
    <n v="57240"/>
    <m/>
    <n v="69960"/>
  </r>
  <r>
    <x v="1"/>
    <s v="SIRI - Employment and Self Employment - EAA"/>
    <s v="Capacity building/vocational training/training"/>
    <x v="4"/>
    <s v="Reifi Wad Elhilaiw"/>
    <n v="720"/>
    <n v="1080"/>
    <m/>
    <n v="1800"/>
    <n v="720"/>
    <n v="1080"/>
    <m/>
    <n v="1800"/>
    <n v="4320"/>
    <n v="19440"/>
    <m/>
    <n v="23760"/>
    <n v="4320"/>
    <n v="19440"/>
    <m/>
    <n v="23760"/>
  </r>
  <r>
    <x v="1"/>
    <s v="SIRI - Employment and Self Employment - EAA"/>
    <s v="Cash for work"/>
    <x v="4"/>
    <s v="Reifi Wad Elhilaiw"/>
    <n v="200"/>
    <n v="300"/>
    <m/>
    <n v="500"/>
    <n v="200"/>
    <n v="300"/>
    <m/>
    <n v="500"/>
    <n v="1200"/>
    <n v="5400"/>
    <m/>
    <n v="6600"/>
    <n v="1200"/>
    <n v="5400"/>
    <m/>
    <n v="6600"/>
  </r>
  <r>
    <x v="1"/>
    <s v="SIRI - Employment and Self Employment - EAA"/>
    <s v="CMC/CBRM/Conflict Resolution Mechanisms"/>
    <x v="4"/>
    <s v="Reifi Wad Elhilaiw"/>
    <n v="30"/>
    <n v="45"/>
    <m/>
    <n v="75"/>
    <n v="30"/>
    <n v="45"/>
    <m/>
    <n v="75"/>
    <n v="180"/>
    <n v="810"/>
    <m/>
    <n v="990"/>
    <n v="180"/>
    <n v="810"/>
    <m/>
    <n v="990"/>
  </r>
  <r>
    <x v="1"/>
    <s v="SIRI - Employment and Self Employment - EAA"/>
    <s v="Employment/Temporary jobs/Entrepreneurial Opportunities"/>
    <x v="4"/>
    <s v="Reifi Wad Elhilaiw"/>
    <n v="555"/>
    <n v="832"/>
    <m/>
    <n v="1387"/>
    <n v="555"/>
    <n v="832"/>
    <m/>
    <n v="1387"/>
    <n v="3328.8"/>
    <n v="14978.880000000001"/>
    <m/>
    <n v="18307.68"/>
    <n v="3328.8"/>
    <n v="14978.880000000001"/>
    <m/>
    <n v="18307.68"/>
  </r>
  <r>
    <x v="1"/>
    <s v="SIRI - Employment and Self Employment - EAA"/>
    <s v="Agricultural production system"/>
    <x v="0"/>
    <s v="Ad Damar"/>
    <n v="2120"/>
    <n v="3180"/>
    <m/>
    <n v="5300"/>
    <n v="2120"/>
    <n v="3180"/>
    <m/>
    <n v="5300"/>
    <n v="12720"/>
    <n v="57240"/>
    <m/>
    <n v="69960"/>
    <n v="12720"/>
    <n v="57240"/>
    <m/>
    <n v="69960"/>
  </r>
  <r>
    <x v="1"/>
    <s v="SIRI - Employment and Self Employment - EAA"/>
    <s v="Capacity building/vocational training/training"/>
    <x v="0"/>
    <s v="Ad Damar"/>
    <n v="720"/>
    <n v="1080"/>
    <m/>
    <n v="1800"/>
    <n v="720"/>
    <n v="1080"/>
    <m/>
    <n v="1800"/>
    <n v="4320"/>
    <n v="19440"/>
    <m/>
    <n v="23760"/>
    <n v="4320"/>
    <n v="19440"/>
    <m/>
    <n v="23760"/>
  </r>
  <r>
    <x v="1"/>
    <s v="SIRI - Employment and Self Employment - EAA"/>
    <s v="Cash for work"/>
    <x v="0"/>
    <s v="Ad Damar"/>
    <n v="200"/>
    <n v="300"/>
    <m/>
    <n v="500"/>
    <n v="200"/>
    <n v="300"/>
    <m/>
    <n v="500"/>
    <n v="1200"/>
    <n v="5400"/>
    <m/>
    <n v="6600"/>
    <n v="1200"/>
    <n v="5400"/>
    <m/>
    <n v="6600"/>
  </r>
  <r>
    <x v="1"/>
    <s v="SIRI - Employment and Self Employment - EAA"/>
    <s v="CMC/CBRM/Conflict Resolution Mechanisms"/>
    <x v="0"/>
    <s v="Ad Damar"/>
    <n v="30"/>
    <n v="45"/>
    <m/>
    <n v="75"/>
    <n v="30"/>
    <n v="45"/>
    <m/>
    <n v="75"/>
    <n v="180"/>
    <n v="810"/>
    <m/>
    <n v="990"/>
    <n v="180"/>
    <n v="810"/>
    <m/>
    <n v="990"/>
  </r>
  <r>
    <x v="1"/>
    <s v="SIRI - Employment and Self Employment - EAA"/>
    <s v="Employment/Temporary jobs/Entrepreneurial Opportunities"/>
    <x v="0"/>
    <s v="Ad Damar"/>
    <n v="555"/>
    <n v="832"/>
    <m/>
    <n v="1387"/>
    <n v="555"/>
    <n v="832"/>
    <m/>
    <n v="1387"/>
    <n v="3328.8"/>
    <n v="14978.880000000001"/>
    <m/>
    <n v="18307.68"/>
    <n v="3328.8"/>
    <n v="14978.880000000001"/>
    <m/>
    <n v="18307.68"/>
  </r>
  <r>
    <x v="1"/>
    <s v="SIRI - Employment and Self Employment - EAA"/>
    <s v="Agricultural production system"/>
    <x v="0"/>
    <s v="Barbar"/>
    <n v="2120"/>
    <n v="3180"/>
    <m/>
    <n v="5300"/>
    <n v="2120"/>
    <n v="3180"/>
    <m/>
    <n v="5300"/>
    <n v="12720"/>
    <n v="57240"/>
    <m/>
    <n v="69960"/>
    <n v="12720"/>
    <n v="57240"/>
    <m/>
    <n v="69960"/>
  </r>
  <r>
    <x v="1"/>
    <s v="SIRI - Employment and Self Employment - EAA"/>
    <s v="Capacity building/vocational training/training"/>
    <x v="0"/>
    <s v="Barbar"/>
    <n v="720"/>
    <n v="1080"/>
    <m/>
    <n v="1800"/>
    <n v="720"/>
    <n v="1080"/>
    <m/>
    <n v="1800"/>
    <n v="4320"/>
    <n v="19440"/>
    <m/>
    <n v="23760"/>
    <n v="4320"/>
    <n v="19440"/>
    <m/>
    <n v="23760"/>
  </r>
  <r>
    <x v="1"/>
    <s v="SIRI - Employment and Self Employment - EAA"/>
    <s v="Cash for work"/>
    <x v="0"/>
    <s v="Barbar"/>
    <n v="200"/>
    <n v="300"/>
    <m/>
    <n v="500"/>
    <n v="200"/>
    <n v="300"/>
    <m/>
    <n v="500"/>
    <n v="1200"/>
    <n v="5400"/>
    <m/>
    <n v="6600"/>
    <n v="1200"/>
    <n v="5400"/>
    <m/>
    <n v="6600"/>
  </r>
  <r>
    <x v="1"/>
    <s v="SIRI - Employment and Self Employment - EAA"/>
    <s v="CMC/CBRM/Conflict Resolution Mechanisms"/>
    <x v="0"/>
    <s v="Barbar"/>
    <n v="30"/>
    <n v="45"/>
    <m/>
    <n v="75"/>
    <n v="30"/>
    <n v="45"/>
    <m/>
    <n v="75"/>
    <n v="180"/>
    <n v="810"/>
    <m/>
    <n v="990"/>
    <n v="180"/>
    <n v="810"/>
    <m/>
    <n v="990"/>
  </r>
  <r>
    <x v="1"/>
    <s v="SIRI - Employment and Self Employment - EAA"/>
    <s v="Employment/Temporary jobs/Entrepreneurial Opportunities"/>
    <x v="0"/>
    <s v="Barbar"/>
    <n v="555"/>
    <n v="832"/>
    <m/>
    <n v="1387"/>
    <n v="555"/>
    <n v="832"/>
    <m/>
    <n v="1387"/>
    <n v="3328.8"/>
    <n v="14978.880000000001"/>
    <m/>
    <n v="18307.68"/>
    <n v="3328.8"/>
    <n v="14978.880000000001"/>
    <m/>
    <n v="18307.68"/>
  </r>
  <r>
    <x v="1"/>
    <s v="SIRI - POWERING SUDAN’S AGRICULTURE: Kuwait - 457"/>
    <s v="Solar Pumping"/>
    <x v="9"/>
    <s v="Al Hasahisa"/>
    <n v="51"/>
    <n v="45"/>
    <m/>
    <n v="96"/>
    <n v="0"/>
    <n v="0"/>
    <m/>
    <n v="0"/>
    <n v="337"/>
    <n v="337"/>
    <m/>
    <n v="674"/>
    <n v="0"/>
    <n v="0"/>
    <m/>
    <n v="0"/>
  </r>
  <r>
    <x v="1"/>
    <s v="SIRI - POWERING SUDAN’S AGRICULTURE: Kuwait - 457"/>
    <s v="Solar Pumping"/>
    <x v="9"/>
    <s v="Al Kamlin"/>
    <n v="45"/>
    <n v="45"/>
    <m/>
    <n v="90"/>
    <n v="0"/>
    <n v="0"/>
    <m/>
    <n v="0"/>
    <n v="1090"/>
    <n v="1080"/>
    <m/>
    <n v="2170"/>
    <n v="0"/>
    <n v="0"/>
    <m/>
    <n v="0"/>
  </r>
  <r>
    <x v="1"/>
    <s v="SIRI - POWERING SUDAN’S AGRICULTURE: Kuwait - 457"/>
    <s v="Solar Pumping"/>
    <x v="9"/>
    <s v="Medani Al Kubra"/>
    <n v="25"/>
    <n v="15"/>
    <m/>
    <n v="40"/>
    <n v="0"/>
    <n v="0"/>
    <m/>
    <n v="0"/>
    <n v="50"/>
    <n v="50"/>
    <m/>
    <n v="100"/>
    <n v="0"/>
    <n v="0"/>
    <m/>
    <n v="0"/>
  </r>
  <r>
    <x v="1"/>
    <s v="SIRI - POWERING SUDAN’S AGRICULTURE: Kuwait - 457"/>
    <s v="Solar Pumping"/>
    <x v="9"/>
    <s v="Janub Al Jazirah"/>
    <n v="20"/>
    <n v="17"/>
    <m/>
    <n v="37"/>
    <n v="0"/>
    <n v="0"/>
    <m/>
    <n v="0"/>
    <n v="283"/>
    <n v="280"/>
    <m/>
    <n v="563"/>
    <n v="0"/>
    <n v="0"/>
    <m/>
    <n v="0"/>
  </r>
  <r>
    <x v="1"/>
    <s v="SIRI - POWERING SUDAN’S AGRICULTURE: Kuwait - 457"/>
    <s v="Solar Pumping"/>
    <x v="5"/>
    <s v="Guli"/>
    <n v="85"/>
    <n v="85"/>
    <m/>
    <n v="170"/>
    <n v="0"/>
    <n v="0"/>
    <m/>
    <n v="0"/>
    <n v="0"/>
    <n v="0"/>
    <m/>
    <n v="0"/>
    <n v="0"/>
    <n v="0"/>
    <m/>
    <n v="0"/>
  </r>
  <r>
    <x v="1"/>
    <s v="SIRI - POWERING SUDAN’S AGRICULTURE: Kuwait - 457"/>
    <s v="Solar Pumping"/>
    <x v="5"/>
    <s v="Ad Diwaim"/>
    <n v="75"/>
    <n v="75"/>
    <m/>
    <n v="150"/>
    <n v="0"/>
    <n v="0"/>
    <m/>
    <n v="0"/>
    <n v="0"/>
    <n v="0"/>
    <m/>
    <n v="0"/>
    <n v="0"/>
    <n v="0"/>
    <m/>
    <n v="0"/>
  </r>
  <r>
    <x v="1"/>
    <s v="SIRI - POWERING SUDAN’S AGRICULTURE: Kuwait - 457"/>
    <s v="Capacity building/vocational training/training"/>
    <x v="9"/>
    <s v="Al Hasahisa"/>
    <n v="15"/>
    <n v="15"/>
    <m/>
    <n v="30"/>
    <n v="0"/>
    <n v="0"/>
    <m/>
    <n v="0"/>
    <n v="370"/>
    <n v="370"/>
    <m/>
    <n v="740"/>
    <n v="0"/>
    <n v="0"/>
    <m/>
    <n v="0"/>
  </r>
  <r>
    <x v="1"/>
    <s v="SIRI - POWERING SUDAN’S AGRICULTURE: Kuwait - 457"/>
    <s v="Capacity building/vocational training/training"/>
    <x v="9"/>
    <s v="Al Kamlin"/>
    <n v="15"/>
    <n v="15"/>
    <m/>
    <n v="30"/>
    <n v="0"/>
    <n v="0"/>
    <m/>
    <n v="0"/>
    <n v="1115"/>
    <n v="1115"/>
    <m/>
    <n v="2230"/>
    <n v="0"/>
    <n v="0"/>
    <m/>
    <n v="0"/>
  </r>
  <r>
    <x v="1"/>
    <s v="SIRI - POWERING SUDAN’S AGRICULTURE: Kuwait - 457"/>
    <s v="Capacity building/vocational training/training"/>
    <x v="9"/>
    <s v="Medani Al Kubra"/>
    <n v="10"/>
    <n v="10"/>
    <m/>
    <n v="20"/>
    <n v="0"/>
    <n v="0"/>
    <m/>
    <n v="0"/>
    <n v="60"/>
    <n v="60"/>
    <m/>
    <n v="120"/>
    <n v="0"/>
    <n v="0"/>
    <m/>
    <n v="0"/>
  </r>
  <r>
    <x v="1"/>
    <s v="SIRI - POWERING SUDAN’S AGRICULTURE: Kuwait - 457"/>
    <s v="Capacity building/vocational training/training"/>
    <x v="9"/>
    <s v="Janub Al Jazirah"/>
    <n v="10"/>
    <n v="10"/>
    <m/>
    <n v="20"/>
    <n v="0"/>
    <n v="0"/>
    <m/>
    <n v="0"/>
    <n v="290"/>
    <n v="290"/>
    <m/>
    <n v="580"/>
    <n v="0"/>
    <n v="0"/>
    <m/>
    <n v="0"/>
  </r>
  <r>
    <x v="1"/>
    <s v="SIRI - POWERING SUDAN’S AGRICULTURE: Kuwait - 457"/>
    <s v="Capacity building/vocational training/training"/>
    <x v="5"/>
    <s v="Guli"/>
    <n v="50"/>
    <n v="50"/>
    <m/>
    <n v="100"/>
    <n v="0"/>
    <n v="0"/>
    <m/>
    <n v="0"/>
    <m/>
    <m/>
    <m/>
    <n v="0"/>
    <n v="0"/>
    <n v="0"/>
    <m/>
    <n v="0"/>
  </r>
  <r>
    <x v="1"/>
    <s v="SIRI - POWERING SUDAN’S AGRICULTURE: Kuwait - 457"/>
    <s v="Capacity building/vocational training/training"/>
    <x v="5"/>
    <s v="Ad Diwaim"/>
    <n v="50"/>
    <n v="50"/>
    <m/>
    <n v="100"/>
    <n v="0"/>
    <n v="0"/>
    <m/>
    <n v="0"/>
    <m/>
    <m/>
    <m/>
    <n v="0"/>
    <n v="0"/>
    <n v="0"/>
    <m/>
    <n v="0"/>
  </r>
  <r>
    <x v="1"/>
    <s v="SIRI - POWERING SUDAN’S AGRICULTURE: Kuwait - 457"/>
    <s v="CMC/CBRM/Conflict Resolution Mechanisms"/>
    <x v="9"/>
    <s v="Al Hasahisa"/>
    <n v="51"/>
    <n v="45"/>
    <m/>
    <n v="96"/>
    <n v="0"/>
    <n v="0"/>
    <m/>
    <n v="0"/>
    <n v="334"/>
    <n v="340"/>
    <m/>
    <n v="674"/>
    <n v="0"/>
    <n v="0"/>
    <m/>
    <n v="0"/>
  </r>
  <r>
    <x v="1"/>
    <s v="SIRI - POWERING SUDAN’S AGRICULTURE: Kuwait - 457"/>
    <s v="CMC/CBRM/Conflict Resolution Mechanisms"/>
    <x v="9"/>
    <s v="Al Kamlin"/>
    <n v="45"/>
    <n v="45"/>
    <m/>
    <n v="90"/>
    <n v="0"/>
    <n v="0"/>
    <m/>
    <n v="0"/>
    <n v="1120"/>
    <n v="1050"/>
    <m/>
    <n v="2170"/>
    <n v="0"/>
    <n v="0"/>
    <m/>
    <n v="0"/>
  </r>
  <r>
    <x v="1"/>
    <s v="SIRI - POWERING SUDAN’S AGRICULTURE: Kuwait - 457"/>
    <s v="CMC/CBRM/Conflict Resolution Mechanisms"/>
    <x v="9"/>
    <s v="Medani Al Kubra"/>
    <n v="25"/>
    <n v="15"/>
    <m/>
    <n v="40"/>
    <n v="0"/>
    <n v="0"/>
    <m/>
    <n v="0"/>
    <n v="50"/>
    <n v="50"/>
    <m/>
    <n v="100"/>
    <n v="0"/>
    <n v="0"/>
    <m/>
    <n v="0"/>
  </r>
  <r>
    <x v="1"/>
    <s v="SIRI - POWERING SUDAN’S AGRICULTURE: Kuwait - 457"/>
    <s v="CMC/CBRM/Conflict Resolution Mechanisms"/>
    <x v="9"/>
    <s v="Janub Al Jazirah"/>
    <n v="20"/>
    <n v="17"/>
    <m/>
    <n v="37"/>
    <n v="0"/>
    <n v="0"/>
    <m/>
    <n v="0"/>
    <n v="278"/>
    <n v="285"/>
    <m/>
    <n v="563"/>
    <n v="0"/>
    <n v="0"/>
    <m/>
    <n v="0"/>
  </r>
  <r>
    <x v="1"/>
    <s v="SIRI - POWERING SUDAN’S AGRICULTURE: Kuwait - 457"/>
    <s v="CMC/CBRM/Conflict Resolution Mechanisms"/>
    <x v="5"/>
    <s v="Guli"/>
    <n v="85"/>
    <n v="85"/>
    <m/>
    <n v="170"/>
    <n v="0"/>
    <n v="0"/>
    <m/>
    <n v="0"/>
    <m/>
    <m/>
    <m/>
    <n v="0"/>
    <n v="0"/>
    <n v="0"/>
    <m/>
    <n v="0"/>
  </r>
  <r>
    <x v="1"/>
    <s v="SIRI - POWERING SUDAN’S AGRICULTURE: Kuwait - 457"/>
    <s v="CMC/CBRM/Conflict Resolution Mechanisms"/>
    <x v="5"/>
    <s v="Ad Diwaim"/>
    <n v="75"/>
    <n v="75"/>
    <m/>
    <n v="150"/>
    <n v="0"/>
    <n v="0"/>
    <m/>
    <n v="0"/>
    <m/>
    <m/>
    <m/>
    <n v="0"/>
    <n v="0"/>
    <n v="0"/>
    <m/>
    <n v="0"/>
  </r>
  <r>
    <x v="1"/>
    <s v="SIRI - POWERING SUDAN’S AGRICULTURE: Kuwait - 457"/>
    <s v="Agricultural production system"/>
    <x v="9"/>
    <s v="Al Manaqil"/>
    <n v="1930"/>
    <n v="1910"/>
    <m/>
    <n v="3840"/>
    <n v="0"/>
    <n v="0"/>
    <m/>
    <n v="0"/>
    <n v="6780"/>
    <n v="6780"/>
    <m/>
    <n v="13560"/>
    <n v="0"/>
    <n v="0"/>
    <m/>
    <n v="0"/>
  </r>
  <r>
    <x v="1"/>
    <s v="SIRI - POWERING SUDAN’S AGRICULTURE: Kuwait - 457"/>
    <s v="Agricultural production system"/>
    <x v="9"/>
    <s v="Janub Al Jazirah"/>
    <n v="3125"/>
    <n v="3125"/>
    <m/>
    <n v="6250"/>
    <n v="0"/>
    <n v="0"/>
    <m/>
    <n v="0"/>
    <n v="10936"/>
    <n v="10936"/>
    <m/>
    <n v="21872"/>
    <n v="0"/>
    <n v="0"/>
    <m/>
    <n v="0"/>
  </r>
  <r>
    <x v="1"/>
    <s v="SIRI - POWERING SUDAN’S AGRICULTURE: Kuwait - 457"/>
    <s v="Agricultural production system"/>
    <x v="9"/>
    <s v="Al Manaqil"/>
    <n v="1250"/>
    <n v="1230"/>
    <m/>
    <n v="2480"/>
    <n v="0"/>
    <n v="0"/>
    <m/>
    <n v="0"/>
    <n v="4373"/>
    <n v="4373"/>
    <m/>
    <n v="8746"/>
    <n v="0"/>
    <n v="0"/>
    <m/>
    <n v="0"/>
  </r>
  <r>
    <x v="1"/>
    <s v="SIRI - POWERING SUDAN’S AGRICULTURE: Kuwait - 457"/>
    <s v="Agricultural production system"/>
    <x v="9"/>
    <s v="Sharg Al Jazirah"/>
    <n v="1140"/>
    <n v="1130"/>
    <m/>
    <n v="2270"/>
    <n v="0"/>
    <n v="0"/>
    <m/>
    <n v="0"/>
    <n v="3938"/>
    <n v="3938"/>
    <m/>
    <n v="7876"/>
    <n v="0"/>
    <n v="0"/>
    <m/>
    <n v="0"/>
  </r>
  <r>
    <x v="1"/>
    <s v="SIRI - POWERING SUDAN’S AGRICULTURE: Kuwait - 457"/>
    <s v="Agricultural production system"/>
    <x v="5"/>
    <s v="Guli"/>
    <n v="350"/>
    <n v="350"/>
    <m/>
    <n v="700"/>
    <n v="350"/>
    <n v="350"/>
    <m/>
    <n v="700"/>
    <n v="1750"/>
    <n v="1750"/>
    <m/>
    <n v="3500"/>
    <n v="1750"/>
    <n v="1750"/>
    <m/>
    <n v="3500"/>
  </r>
  <r>
    <x v="1"/>
    <s v="SIRI - POWERING SUDAN’S AGRICULTURE: Kuwait - 457"/>
    <s v="Agricultural production system"/>
    <x v="4"/>
    <s v="Madeinat Kassala"/>
    <n v="1000"/>
    <n v="1500"/>
    <m/>
    <n v="2500"/>
    <n v="1000"/>
    <n v="1500"/>
    <m/>
    <n v="2500"/>
    <n v="1200"/>
    <n v="1800"/>
    <m/>
    <n v="3000"/>
    <n v="1200"/>
    <n v="1800"/>
    <m/>
    <n v="3000"/>
  </r>
  <r>
    <x v="1"/>
    <s v="SIRI - POWERING SUDAN’S AGRICULTURE: Kuwait - 457"/>
    <s v="Agricultural production system"/>
    <x v="4"/>
    <s v="Madeinat Kassala"/>
    <n v="1000"/>
    <n v="1500"/>
    <m/>
    <n v="2500"/>
    <n v="1000"/>
    <n v="1500"/>
    <m/>
    <n v="2500"/>
    <n v="1200"/>
    <n v="1800"/>
    <m/>
    <n v="3000"/>
    <n v="1200"/>
    <n v="1800"/>
    <m/>
    <n v="3000"/>
  </r>
  <r>
    <x v="1"/>
    <s v="SIRI - POWERING SUDAN’S AGRICULTURE: Kuwait - 457"/>
    <s v="Agricultural production system"/>
    <x v="2"/>
    <s v="Port Sudan"/>
    <n v="200"/>
    <n v="300"/>
    <m/>
    <n v="500"/>
    <n v="0"/>
    <n v="0"/>
    <m/>
    <n v="0"/>
    <n v="1000"/>
    <n v="1500"/>
    <m/>
    <n v="2500"/>
    <n v="0"/>
    <n v="0"/>
    <m/>
    <n v="0"/>
  </r>
  <r>
    <x v="1"/>
    <s v="SIRI - Strengthening the Resilience of IDPS, Refugees and Vulnerable Host Communities in East Sudan (SDC)"/>
    <s v="Agricultural production system"/>
    <x v="2"/>
    <s v="Port Sudan"/>
    <n v="500"/>
    <n v="500"/>
    <m/>
    <n v="1000"/>
    <n v="2500"/>
    <n v="2500"/>
    <m/>
    <n v="5000"/>
    <n v="2500"/>
    <n v="7500"/>
    <m/>
    <n v="10000"/>
    <n v="2500"/>
    <n v="2500"/>
    <m/>
    <n v="5000"/>
  </r>
  <r>
    <x v="1"/>
    <s v="SIRI - Strengthening the Resilience of IDPS, Refugees and Vulnerable Host Communities in East Sudan (SDC)"/>
    <s v="Solar Kit Distribution"/>
    <x v="2"/>
    <s v="Port Sudan"/>
    <n v="600"/>
    <n v="600"/>
    <m/>
    <n v="1200"/>
    <n v="3000"/>
    <n v="3000"/>
    <m/>
    <n v="6000"/>
    <n v="3000"/>
    <n v="9000"/>
    <m/>
    <n v="12000"/>
    <n v="3000"/>
    <n v="3000"/>
    <m/>
    <n v="6000"/>
  </r>
  <r>
    <x v="1"/>
    <s v="SIRI - Strengthening the Resilience of IDPS, Refugees and Vulnerable Host Communities in East Sudan (SDC)"/>
    <s v="Solar Streetlight"/>
    <x v="2"/>
    <s v="Port Sudan"/>
    <n v="500"/>
    <n v="500"/>
    <m/>
    <n v="1000"/>
    <n v="2500"/>
    <n v="2500"/>
    <m/>
    <n v="5000"/>
    <n v="2500"/>
    <n v="7500"/>
    <m/>
    <n v="10000"/>
    <n v="2500"/>
    <n v="2500"/>
    <m/>
    <n v="5000"/>
  </r>
  <r>
    <x v="1"/>
    <s v="SIRI - Strengthening the Resilience of IDPS, Refugees and Vulnerable Host Communities in East Sudan (SDC)"/>
    <s v="Cash for work"/>
    <x v="2"/>
    <s v="Port Sudan"/>
    <n v="1000"/>
    <n v="1000"/>
    <m/>
    <n v="2000"/>
    <n v="5000"/>
    <n v="5000"/>
    <m/>
    <n v="10000"/>
    <n v="5000"/>
    <n v="15000"/>
    <m/>
    <n v="20000"/>
    <n v="5000"/>
    <n v="5000"/>
    <m/>
    <n v="10000"/>
  </r>
  <r>
    <x v="1"/>
    <s v="SIRI - Strengthening the Resilience of IDPS, Refugees and Vulnerable Host Communities in East Sudan (SDC)"/>
    <s v="Solar Pumping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lean water access/water management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limate resilience initiatives/adaptive agriculture initiatives"/>
    <x v="2"/>
    <s v="Port Sudan"/>
    <n v="500"/>
    <n v="500"/>
    <m/>
    <n v="1000"/>
    <n v="2500"/>
    <n v="2500"/>
    <m/>
    <n v="5000"/>
    <n v="2500"/>
    <n v="7500"/>
    <m/>
    <n v="10000"/>
    <n v="2500"/>
    <n v="2500"/>
    <m/>
    <n v="5000"/>
  </r>
  <r>
    <x v="1"/>
    <s v="SIRI - Strengthening the Resilience of IDPS, Refugees and Vulnerable Host Communities in East Sudan (SDC)"/>
    <s v="CMC/CBRM/Conflict Resolution Mechanisms"/>
    <x v="2"/>
    <s v="Port Sudan"/>
    <n v="25"/>
    <n v="25"/>
    <m/>
    <n v="50"/>
    <n v="125"/>
    <n v="125"/>
    <m/>
    <n v="250"/>
    <n v="125"/>
    <n v="375"/>
    <m/>
    <n v="500"/>
    <n v="125"/>
    <n v="125"/>
    <m/>
    <n v="250"/>
  </r>
  <r>
    <x v="1"/>
    <s v="SIRI - Strengthening the Resilience of IDPS, Refugees and Vulnerable Host Communities in East Sudan (SDC)"/>
    <s v="Employment/Temporary jobs/Entrepreneurial Opportunities"/>
    <x v="2"/>
    <s v="Port Sudan"/>
    <n v="100"/>
    <n v="100"/>
    <m/>
    <n v="200"/>
    <n v="500"/>
    <n v="500"/>
    <m/>
    <n v="1000"/>
    <n v="500"/>
    <n v="1500"/>
    <m/>
    <n v="2000"/>
    <n v="500"/>
    <n v="500"/>
    <m/>
    <n v="1000"/>
  </r>
  <r>
    <x v="1"/>
    <s v="SIRI - Strengthening the Resilience of IDPS, Refugees and Vulnerable Host Communities in East Sudan (SDC)"/>
    <s v="Empowering women/Women Leadership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Service Delivery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apacity building/vocational training/training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Local Governance Support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ash for work"/>
    <x v="2"/>
    <s v="Port Sudan"/>
    <n v="100"/>
    <n v="100"/>
    <m/>
    <n v="200"/>
    <n v="500"/>
    <n v="500"/>
    <m/>
    <n v="1000"/>
    <n v="500"/>
    <n v="1500"/>
    <m/>
    <n v="2000"/>
    <n v="500"/>
    <n v="500"/>
    <m/>
    <n v="1000"/>
  </r>
  <r>
    <x v="1"/>
    <s v="SIRI - Strengthening the Resilience of IDPS, Refugees and Vulnerable Host Communities in East Sudan (SDC)"/>
    <s v="Water/Rehabilitation of Water Yard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Water/Yard Rehabilitation &amp; Solarization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Food System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Solar Pumping"/>
    <x v="2"/>
    <s v="Port Sudan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Agricultural production system"/>
    <x v="2"/>
    <s v="Sinkat"/>
    <n v="400"/>
    <n v="600"/>
    <m/>
    <n v="1000"/>
    <n v="2000"/>
    <n v="3000"/>
    <m/>
    <n v="5000"/>
    <n v="3000"/>
    <n v="8000"/>
    <m/>
    <n v="11000"/>
    <n v="2000"/>
    <n v="3000"/>
    <m/>
    <n v="5000"/>
  </r>
  <r>
    <x v="1"/>
    <s v="SIRI - Strengthening the Resilience of IDPS, Refugees and Vulnerable Host Communities in East Sudan (SDC)"/>
    <s v="Solar Kit Distribution"/>
    <x v="2"/>
    <s v="Sinkat"/>
    <n v="850"/>
    <n v="850"/>
    <m/>
    <n v="1700"/>
    <n v="4200"/>
    <n v="4200"/>
    <m/>
    <n v="8400"/>
    <n v="4200"/>
    <n v="12600"/>
    <m/>
    <n v="16800"/>
    <n v="4200"/>
    <n v="4200"/>
    <m/>
    <n v="8400"/>
  </r>
  <r>
    <x v="1"/>
    <s v="SIRI - Strengthening the Resilience of IDPS, Refugees and Vulnerable Host Communities in East Sudan (SDC)"/>
    <s v="Solar Streetlight"/>
    <x v="2"/>
    <s v="Sinkat"/>
    <n v="1000"/>
    <n v="1000"/>
    <m/>
    <n v="2000"/>
    <n v="5000"/>
    <n v="5000"/>
    <m/>
    <n v="10000"/>
    <n v="5000"/>
    <n v="15000"/>
    <m/>
    <n v="20000"/>
    <n v="5000"/>
    <n v="5000"/>
    <m/>
    <n v="10000"/>
  </r>
  <r>
    <x v="1"/>
    <s v="SIRI - Strengthening the Resilience of IDPS, Refugees and Vulnerable Host Communities in East Sudan (SDC)"/>
    <s v="Cash for work"/>
    <x v="2"/>
    <s v="Sinkat"/>
    <n v="100"/>
    <n v="100"/>
    <m/>
    <n v="200"/>
    <n v="500"/>
    <n v="500"/>
    <m/>
    <n v="1000"/>
    <n v="500"/>
    <n v="1500"/>
    <m/>
    <n v="2000"/>
    <n v="500"/>
    <n v="500"/>
    <m/>
    <n v="1000"/>
  </r>
  <r>
    <x v="1"/>
    <s v="SIRI - Strengthening the Resilience of IDPS, Refugees and Vulnerable Host Communities in East Sudan (SDC)"/>
    <s v="Solar Pumping"/>
    <x v="2"/>
    <s v="Sinkat"/>
    <n v="1000"/>
    <n v="1000"/>
    <m/>
    <n v="2000"/>
    <n v="5000"/>
    <n v="5000"/>
    <m/>
    <n v="10000"/>
    <n v="5000"/>
    <n v="15000"/>
    <m/>
    <n v="20000"/>
    <n v="5000"/>
    <n v="5000"/>
    <m/>
    <n v="10000"/>
  </r>
  <r>
    <x v="1"/>
    <s v="SIRI - Strengthening the Resilience of IDPS, Refugees and Vulnerable Host Communities in East Sudan (SDC)"/>
    <s v="Clean water access/water management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limate resilience initiatives/adaptive agriculture initiatives"/>
    <x v="2"/>
    <s v="Sinkat"/>
    <n v="400"/>
    <n v="600"/>
    <m/>
    <n v="1000"/>
    <n v="2000"/>
    <n v="2400"/>
    <m/>
    <n v="4400"/>
    <n v="2400"/>
    <n v="6800"/>
    <m/>
    <n v="9200"/>
    <n v="2000"/>
    <n v="2400"/>
    <m/>
    <n v="4400"/>
  </r>
  <r>
    <x v="1"/>
    <s v="SIRI - Strengthening the Resilience of IDPS, Refugees and Vulnerable Host Communities in East Sudan (SDC)"/>
    <s v="CMC/CBRM/Conflict Resolution Mechanisms"/>
    <x v="2"/>
    <s v="Sinkat"/>
    <n v="25"/>
    <n v="25"/>
    <m/>
    <n v="50"/>
    <n v="125"/>
    <n v="125"/>
    <m/>
    <n v="250"/>
    <n v="125"/>
    <n v="375"/>
    <m/>
    <n v="500"/>
    <n v="125"/>
    <n v="125"/>
    <m/>
    <n v="250"/>
  </r>
  <r>
    <x v="1"/>
    <s v="SIRI - Strengthening the Resilience of IDPS, Refugees and Vulnerable Host Communities in East Sudan (SDC)"/>
    <s v="Employment/Temporary jobs/Entrepreneurial Opportunities"/>
    <x v="2"/>
    <s v="Sinkat"/>
    <n v="100"/>
    <n v="100"/>
    <m/>
    <n v="200"/>
    <n v="600"/>
    <n v="500"/>
    <m/>
    <n v="1100"/>
    <n v="500"/>
    <n v="1600"/>
    <m/>
    <n v="2100"/>
    <n v="600"/>
    <n v="500"/>
    <m/>
    <n v="1100"/>
  </r>
  <r>
    <x v="1"/>
    <s v="SIRI - Strengthening the Resilience of IDPS, Refugees and Vulnerable Host Communities in East Sudan (SDC)"/>
    <s v="Empowering women/Women Leadership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Service Delivery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apacity building/vocational training/training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Local Governance Support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apacity building/vocational training/training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Water/Rehabilitation of Water Yard"/>
    <x v="2"/>
    <s v="Sinkat"/>
    <n v="2000"/>
    <n v="2000"/>
    <m/>
    <n v="4000"/>
    <n v="10000"/>
    <n v="10000"/>
    <m/>
    <n v="20000"/>
    <n v="10000"/>
    <n v="30000"/>
    <m/>
    <n v="40000"/>
    <n v="10000"/>
    <n v="10000"/>
    <m/>
    <n v="20000"/>
  </r>
  <r>
    <x v="1"/>
    <s v="SIRI - Strengthening the Resilience of IDPS, Refugees and Vulnerable Host Communities in East Sudan (SDC)"/>
    <s v="Water/Yard Rehabilitation &amp; Solarization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lean water access/water management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Food System"/>
    <x v="2"/>
    <s v="Sinkat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Agricultural production system"/>
    <x v="2"/>
    <s v="Tawkar"/>
    <n v="500"/>
    <n v="500"/>
    <m/>
    <n v="1000"/>
    <n v="2500"/>
    <n v="2500"/>
    <m/>
    <n v="5000"/>
    <n v="2500"/>
    <n v="7500"/>
    <m/>
    <n v="10000"/>
    <n v="2500"/>
    <n v="2500"/>
    <m/>
    <n v="5000"/>
  </r>
  <r>
    <x v="1"/>
    <s v="SIRI - Strengthening the Resilience of IDPS, Refugees and Vulnerable Host Communities in East Sudan (SDC)"/>
    <s v="Solar Kit Distribution"/>
    <x v="2"/>
    <s v="Tawkar"/>
    <n v="600"/>
    <n v="600"/>
    <m/>
    <n v="1200"/>
    <n v="2400"/>
    <n v="2400"/>
    <m/>
    <n v="4800"/>
    <n v="2400"/>
    <n v="7200"/>
    <m/>
    <n v="9600"/>
    <n v="2400"/>
    <n v="2400"/>
    <m/>
    <n v="4800"/>
  </r>
  <r>
    <x v="1"/>
    <s v="SIRI - Strengthening the Resilience of IDPS, Refugees and Vulnerable Host Communities in East Sudan (SDC)"/>
    <s v="Solar Streetlight"/>
    <x v="2"/>
    <s v="Tawkar"/>
    <n v="1000"/>
    <n v="1000"/>
    <m/>
    <n v="2000"/>
    <n v="5000"/>
    <n v="5000"/>
    <m/>
    <n v="10000"/>
    <n v="5000"/>
    <n v="15000"/>
    <m/>
    <n v="20000"/>
    <n v="5000"/>
    <n v="5000"/>
    <m/>
    <n v="10000"/>
  </r>
  <r>
    <x v="1"/>
    <s v="SIRI - Strengthening the Resilience of IDPS, Refugees and Vulnerable Host Communities in East Sudan (SDC)"/>
    <s v="Cash for work"/>
    <x v="2"/>
    <s v="Tawkar"/>
    <n v="50"/>
    <n v="150"/>
    <m/>
    <n v="200"/>
    <n v="250"/>
    <n v="750"/>
    <m/>
    <n v="1000"/>
    <n v="750"/>
    <n v="1750"/>
    <m/>
    <n v="2500"/>
    <n v="250"/>
    <n v="750"/>
    <m/>
    <n v="1000"/>
  </r>
  <r>
    <x v="1"/>
    <s v="SIRI - Strengthening the Resilience of IDPS, Refugees and Vulnerable Host Communities in East Sudan (SDC)"/>
    <s v="Solar Pumping"/>
    <x v="2"/>
    <s v="Tawkar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lean water access/water management"/>
    <x v="2"/>
    <s v="Tawkar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limate resilience initiatives/adaptive agriculture initiatives"/>
    <x v="2"/>
    <s v="Tawkar"/>
    <n v="400"/>
    <n v="600"/>
    <m/>
    <n v="1000"/>
    <n v="2000"/>
    <n v="2400"/>
    <m/>
    <n v="4400"/>
    <n v="2400"/>
    <n v="6800"/>
    <m/>
    <n v="9200"/>
    <n v="2000"/>
    <n v="2400"/>
    <m/>
    <n v="4400"/>
  </r>
  <r>
    <x v="1"/>
    <s v="SIRI - Strengthening the Resilience of IDPS, Refugees and Vulnerable Host Communities in East Sudan (SDC)"/>
    <s v="CMC/CBRM/Conflict Resolution Mechanisms"/>
    <x v="2"/>
    <s v="Tawkar"/>
    <n v="25"/>
    <n v="25"/>
    <m/>
    <n v="50"/>
    <n v="125"/>
    <n v="125"/>
    <m/>
    <n v="250"/>
    <n v="125"/>
    <n v="375"/>
    <m/>
    <n v="500"/>
    <n v="125"/>
    <n v="125"/>
    <m/>
    <n v="250"/>
  </r>
  <r>
    <x v="1"/>
    <s v="SIRI - Strengthening the Resilience of IDPS, Refugees and Vulnerable Host Communities in East Sudan (SDC)"/>
    <s v="Employment/Temporary jobs/Entrepreneurial Opportunities"/>
    <x v="2"/>
    <s v="Tawkar"/>
    <n v="50"/>
    <n v="150"/>
    <m/>
    <n v="200"/>
    <n v="250"/>
    <n v="750"/>
    <m/>
    <n v="1000"/>
    <n v="750"/>
    <n v="1750"/>
    <m/>
    <n v="2500"/>
    <n v="250"/>
    <n v="750"/>
    <m/>
    <n v="1000"/>
  </r>
  <r>
    <x v="1"/>
    <s v="SIRI - Strengthening the Resilience of IDPS, Refugees and Vulnerable Host Communities in East Sudan (SDC)"/>
    <s v="Empowering women/Women Leadership"/>
    <x v="2"/>
    <s v="Tawkar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Service Delivery"/>
    <x v="2"/>
    <s v="Tawkar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apacity building/vocational training/training"/>
    <x v="2"/>
    <s v="Tawkar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Local Governance Support"/>
    <x v="2"/>
    <s v="Tawkar"/>
    <n v="0"/>
    <n v="0"/>
    <m/>
    <n v="0"/>
    <n v="0"/>
    <n v="0"/>
    <m/>
    <n v="0"/>
    <n v="0"/>
    <n v="0"/>
    <m/>
    <n v="0"/>
    <n v="0"/>
    <n v="0"/>
    <m/>
    <n v="0"/>
  </r>
  <r>
    <x v="1"/>
    <s v="SIRI - Strengthening the Resilience of IDPS, Refugees and Vulnerable Host Communities in East Sudan (SDC)"/>
    <s v="Cash for work"/>
    <x v="2"/>
    <s v="Tawkar"/>
    <n v="50"/>
    <n v="150"/>
    <m/>
    <n v="200"/>
    <n v="250"/>
    <n v="750"/>
    <m/>
    <n v="1000"/>
    <n v="750"/>
    <n v="1750"/>
    <m/>
    <n v="2500"/>
    <n v="250"/>
    <n v="750"/>
    <m/>
    <n v="1000"/>
  </r>
  <r>
    <x v="1"/>
    <s v="SIRI - Strengthening the Resilience of IDPS, Refugees and Vulnerable Host Communities in East Sudan (SDC)"/>
    <s v="Water/Rehabilitation of Water Yard"/>
    <x v="2"/>
    <s v="Tawkar"/>
    <n v="0"/>
    <n v="0"/>
    <m/>
    <n v="0"/>
    <n v="0"/>
    <m/>
    <m/>
    <n v="0"/>
    <m/>
    <n v="0"/>
    <m/>
    <n v="0"/>
    <n v="0"/>
    <m/>
    <m/>
    <n v="0"/>
  </r>
  <r>
    <x v="1"/>
    <s v="SIRI - Strengthening the Resilience of IDPS, Refugees and Vulnerable Host Communities in East Sudan (SDC)"/>
    <s v="Water/Yard Rehabilitation &amp; Solarization"/>
    <x v="2"/>
    <s v="Tawkar"/>
    <n v="0"/>
    <n v="0"/>
    <m/>
    <n v="0"/>
    <n v="0"/>
    <m/>
    <m/>
    <n v="0"/>
    <m/>
    <n v="0"/>
    <m/>
    <n v="0"/>
    <n v="0"/>
    <m/>
    <m/>
    <n v="0"/>
  </r>
  <r>
    <x v="1"/>
    <s v="SIRI - Strengthening the Resilience of IDPS, Refugees and Vulnerable Host Communities in East Sudan (SDC)"/>
    <s v="Food System"/>
    <x v="2"/>
    <s v="Tawkar"/>
    <n v="0"/>
    <n v="0"/>
    <m/>
    <n v="0"/>
    <n v="0"/>
    <m/>
    <m/>
    <n v="0"/>
    <m/>
    <n v="0"/>
    <m/>
    <n v="0"/>
    <n v="0"/>
    <m/>
    <m/>
    <n v="0"/>
  </r>
  <r>
    <x v="1"/>
    <s v="SIRI - Strengthening the Resilience of IDPS, Refugees and Vulnerable Host Communities in East Sudan (SDC)"/>
    <s v="Solar Pumping"/>
    <x v="2"/>
    <s v="Tawkar"/>
    <n v="0"/>
    <n v="0"/>
    <m/>
    <n v="0"/>
    <n v="0"/>
    <m/>
    <m/>
    <n v="0"/>
    <m/>
    <n v="0"/>
    <m/>
    <n v="0"/>
    <n v="0"/>
    <m/>
    <m/>
    <n v="0"/>
  </r>
  <r>
    <x v="1"/>
    <s v="SIRI - Strengthening the Resilience of IDPS, Refugees and Vulnerable Host Communities in East Sudan (SDC)"/>
    <s v="CMC/CBRM/Conflict Resolution Mechanisms"/>
    <x v="3"/>
    <s v="Ar Rahad"/>
    <n v="50"/>
    <n v="60"/>
    <m/>
    <n v="110"/>
    <n v="500"/>
    <n v="500"/>
    <m/>
    <n v="1000"/>
    <n v="500"/>
    <n v="1500"/>
    <m/>
    <n v="2000"/>
    <n v="500"/>
    <n v="500"/>
    <m/>
    <n v="1000"/>
  </r>
  <r>
    <x v="1"/>
    <s v="SIRI - Strengthening the Resilience of IDPS, Refugees and Vulnerable Host Communities in East Sudan (SDC)"/>
    <s v="Solar Pumping"/>
    <x v="3"/>
    <s v="Ar Rahad"/>
    <n v="50"/>
    <n v="80"/>
    <m/>
    <n v="130"/>
    <n v="300"/>
    <n v="480"/>
    <m/>
    <n v="780"/>
    <n v="480"/>
    <n v="1260"/>
    <m/>
    <n v="1740"/>
    <n v="300"/>
    <n v="480"/>
    <m/>
    <n v="780"/>
  </r>
  <r>
    <x v="1"/>
    <s v="SIRI - Strengthening the Resilience of IDPS, Refugees and Vulnerable Host Communities in East Sudan (SDC)"/>
    <s v="Solar Pumping"/>
    <x v="3"/>
    <s v="Al Mafaza"/>
    <n v="50"/>
    <n v="50"/>
    <m/>
    <n v="100"/>
    <n v="120"/>
    <n v="180"/>
    <m/>
    <n v="300"/>
    <n v="180"/>
    <n v="480"/>
    <m/>
    <n v="660"/>
    <n v="120"/>
    <n v="180"/>
    <m/>
    <n v="300"/>
  </r>
  <r>
    <x v="1"/>
    <s v="SIRI - Strengthening the Resilience of IDPS, Refugees and Vulnerable Host Communities in East Sudan (SDC)"/>
    <s v="Solar Pumping"/>
    <x v="3"/>
    <s v="Al Fashaga"/>
    <n v="50"/>
    <n v="50"/>
    <m/>
    <n v="100"/>
    <n v="120"/>
    <n v="180"/>
    <m/>
    <n v="300"/>
    <n v="180"/>
    <n v="480"/>
    <m/>
    <n v="660"/>
    <n v="120"/>
    <n v="180"/>
    <m/>
    <n v="300"/>
  </r>
  <r>
    <x v="1"/>
    <s v="SIRI - Strengthening the Resilience of IDPS, Refugees and Vulnerable Host Communities in East Sudan (SDC)"/>
    <s v="Agricultural production system"/>
    <x v="3"/>
    <s v="Al Qurashi"/>
    <n v="120"/>
    <n v="180"/>
    <m/>
    <n v="300"/>
    <n v="720"/>
    <n v="1080"/>
    <m/>
    <n v="1800"/>
    <n v="1080"/>
    <n v="2880"/>
    <m/>
    <n v="3960"/>
    <n v="720"/>
    <n v="1080"/>
    <m/>
    <n v="1800"/>
  </r>
  <r>
    <x v="1"/>
    <s v="SIRI - Strengthening the Resilience of IDPS, Refugees and Vulnerable Host Communities in East Sudan (SDC)"/>
    <s v="Agricultural production system"/>
    <x v="3"/>
    <s v="Al Mafaza"/>
    <n v="400"/>
    <n v="500"/>
    <m/>
    <n v="900"/>
    <n v="2500"/>
    <n v="3500"/>
    <m/>
    <n v="6000"/>
    <n v="3500"/>
    <n v="9500"/>
    <m/>
    <n v="13000"/>
    <n v="2500"/>
    <n v="3500"/>
    <m/>
    <n v="6000"/>
  </r>
  <r>
    <x v="1"/>
    <s v="SIRI - Strengthening the Resilience of IDPS, Refugees and Vulnerable Host Communities in East Sudan (SDC)"/>
    <s v="Agricultural production system"/>
    <x v="3"/>
    <s v="Gala'a Al Nahal"/>
    <n v="800"/>
    <n v="1200"/>
    <m/>
    <n v="2000"/>
    <n v="4800"/>
    <n v="7200"/>
    <m/>
    <n v="12000"/>
    <n v="7200"/>
    <n v="19200"/>
    <m/>
    <n v="26400"/>
    <n v="4800"/>
    <n v="7200"/>
    <m/>
    <n v="12000"/>
  </r>
  <r>
    <x v="1"/>
    <s v="SIRI - Strengthening the Resilience of IDPS, Refugees and Vulnerable Host Communities in East Sudan (SDC)"/>
    <s v="Agricultural production system"/>
    <x v="3"/>
    <s v="Ar Rahad"/>
    <n v="400"/>
    <n v="600"/>
    <m/>
    <n v="1000"/>
    <n v="2400"/>
    <n v="3600"/>
    <m/>
    <n v="6000"/>
    <n v="3600"/>
    <n v="9600"/>
    <m/>
    <n v="13200"/>
    <n v="2400"/>
    <n v="3600"/>
    <m/>
    <n v="6000"/>
  </r>
  <r>
    <x v="1"/>
    <s v="SIRI - Strengthening the Resilience of IDPS, Refugees and Vulnerable Host Communities in East Sudan (SDC)"/>
    <s v="CMC/CBRM/Conflict Resolution Mechanisms"/>
    <x v="3"/>
    <s v="Ar Rahad"/>
    <n v="20"/>
    <n v="40"/>
    <m/>
    <n v="60"/>
    <n v="1000"/>
    <n v="2000"/>
    <m/>
    <n v="3000"/>
    <n v="2000"/>
    <n v="5000"/>
    <m/>
    <n v="7000"/>
    <n v="1000"/>
    <n v="2000"/>
    <m/>
    <n v="3000"/>
  </r>
  <r>
    <x v="1"/>
    <s v="SIRI - Strengthening the Resilience of IDPS, Refugees and Vulnerable Host Communities in East Sudan (SDC)"/>
    <s v="Cash for work"/>
    <x v="3"/>
    <s v="Ar Rahad"/>
    <n v="100"/>
    <n v="100"/>
    <m/>
    <n v="200"/>
    <n v="600"/>
    <n v="600"/>
    <m/>
    <n v="1200"/>
    <n v="600"/>
    <n v="1800"/>
    <m/>
    <n v="2400"/>
    <n v="600"/>
    <n v="600"/>
    <m/>
    <n v="1200"/>
  </r>
  <r>
    <x v="1"/>
    <s v="SIRI - Strengthening the Resilience of IDPS, Refugees and Vulnerable Host Communities in East Sudan (SDC)"/>
    <s v="Employment/Temporary jobs/Entrepreneurial Opportunities"/>
    <x v="3"/>
    <s v="Ar Rahad"/>
    <n v="80"/>
    <n v="120"/>
    <m/>
    <n v="200"/>
    <n v="480"/>
    <n v="720"/>
    <m/>
    <n v="1200"/>
    <n v="720"/>
    <n v="1920"/>
    <m/>
    <n v="2640"/>
    <n v="480"/>
    <n v="720"/>
    <m/>
    <n v="1200"/>
  </r>
  <r>
    <x v="1"/>
    <s v="SIRI - Strengthening the Resilience of IDPS, Refugees and Vulnerable Host Communities in East Sudan (SDC)"/>
    <s v="Strengthen Social Cohesion"/>
    <x v="3"/>
    <s v="Ar Rahad"/>
    <n v="200"/>
    <n v="300"/>
    <m/>
    <n v="500"/>
    <n v="1200"/>
    <n v="1800"/>
    <m/>
    <n v="3000"/>
    <n v="1800"/>
    <n v="4800"/>
    <m/>
    <n v="6600"/>
    <n v="1200"/>
    <n v="1800"/>
    <m/>
    <n v="3000"/>
  </r>
  <r>
    <x v="1"/>
    <s v="SIRI - Strengthening the Resilience of IDPS, Refugees and Vulnerable Host Communities in East Sudan (SDC)"/>
    <s v="Strengthen Social Cohesion"/>
    <x v="3"/>
    <s v="Al Mafaza"/>
    <n v="200"/>
    <n v="300"/>
    <m/>
    <n v="500"/>
    <n v="1200"/>
    <n v="1800"/>
    <m/>
    <n v="3000"/>
    <n v="1800"/>
    <n v="4800"/>
    <m/>
    <n v="6600"/>
    <n v="1200"/>
    <n v="1800"/>
    <m/>
    <n v="3000"/>
  </r>
  <r>
    <x v="1"/>
    <s v="SIRI - Strengthening the Resilience of IDPS, Refugees and Vulnerable Host Communities in East Sudan (SDC)"/>
    <s v="Cash for work"/>
    <x v="3"/>
    <s v="Al Mafaza"/>
    <n v="40"/>
    <n v="60"/>
    <m/>
    <n v="100"/>
    <n v="240"/>
    <n v="360"/>
    <m/>
    <n v="600"/>
    <n v="360"/>
    <n v="960"/>
    <m/>
    <n v="1320"/>
    <n v="240"/>
    <n v="360"/>
    <m/>
    <n v="600"/>
  </r>
  <r>
    <x v="1"/>
    <s v="SIRI - Strengthening the Resilience of IDPS, Refugees and Vulnerable Host Communities in East Sudan (SDC)"/>
    <s v="Employment/Temporary jobs/Entrepreneurial Opportunities"/>
    <x v="3"/>
    <s v="Al Mafaza"/>
    <n v="40"/>
    <n v="60"/>
    <m/>
    <n v="100"/>
    <n v="240"/>
    <n v="360"/>
    <m/>
    <n v="600"/>
    <n v="360"/>
    <n v="960"/>
    <m/>
    <n v="1320"/>
    <n v="240"/>
    <n v="360"/>
    <m/>
    <n v="600"/>
  </r>
  <r>
    <x v="1"/>
    <s v="SIRI - Strengthening the Resilience of IDPS, Refugees and Vulnerable Host Communities in East Sudan (SDC)"/>
    <s v="Employment/Temporary jobs/Entrepreneurial Opportunities"/>
    <x v="3"/>
    <s v="Gala'a Al Nahal"/>
    <n v="80"/>
    <n v="120"/>
    <m/>
    <n v="200"/>
    <n v="480"/>
    <n v="720"/>
    <m/>
    <n v="1200"/>
    <n v="720"/>
    <n v="1920"/>
    <m/>
    <n v="2640"/>
    <n v="480"/>
    <n v="720"/>
    <m/>
    <n v="1200"/>
  </r>
  <r>
    <x v="1"/>
    <s v="SIRI - Strengthening the Resilience of IDPS, Refugees and Vulnerable Host Communities in East Sudan (SDC)"/>
    <s v="Cash for work"/>
    <x v="3"/>
    <s v="Gala'a Al Nahal"/>
    <n v="80"/>
    <n v="120"/>
    <m/>
    <n v="200"/>
    <n v="480"/>
    <n v="720"/>
    <m/>
    <n v="1200"/>
    <n v="720"/>
    <n v="1920"/>
    <m/>
    <n v="2640"/>
    <n v="480"/>
    <n v="720"/>
    <m/>
    <n v="1200"/>
  </r>
  <r>
    <x v="1"/>
    <s v="SIRI - Strengthening the Resilience of IDPS, Refugees and Vulnerable Host Communities in East Sudan (SDC)"/>
    <s v="Cash for work"/>
    <x v="4"/>
    <s v="Halfa Aj Jadeedah"/>
    <n v="30"/>
    <n v="40"/>
    <m/>
    <n v="70"/>
    <n v="180"/>
    <n v="240"/>
    <m/>
    <n v="420"/>
    <n v="240"/>
    <n v="660"/>
    <m/>
    <n v="900"/>
    <n v="180"/>
    <n v="240"/>
    <m/>
    <n v="420"/>
  </r>
  <r>
    <x v="1"/>
    <s v="SIRI - Strengthening the Resilience of IDPS, Refugees and Vulnerable Host Communities in East Sudan (SDC)"/>
    <s v="Employment/Temporary jobs/Entrepreneurial Opportunities"/>
    <x v="4"/>
    <s v="Halfa Aj Jadeedah"/>
    <n v="40"/>
    <n v="60"/>
    <m/>
    <n v="100"/>
    <n v="240"/>
    <n v="360"/>
    <m/>
    <n v="600"/>
    <n v="360"/>
    <n v="960"/>
    <m/>
    <n v="1320"/>
    <n v="240"/>
    <n v="360"/>
    <m/>
    <n v="600"/>
  </r>
  <r>
    <x v="1"/>
    <s v="SIRI - Strengthening the Resilience of IDPS, Refugees and Vulnerable Host Communities in East Sudan (SDC)"/>
    <s v="Agricultural production system"/>
    <x v="4"/>
    <s v="Halfa Aj Jadeedah"/>
    <n v="600"/>
    <n v="900"/>
    <m/>
    <n v="1500"/>
    <n v="3600"/>
    <n v="5400"/>
    <m/>
    <n v="9000"/>
    <n v="5400"/>
    <n v="14400"/>
    <m/>
    <n v="19800"/>
    <n v="3600"/>
    <n v="5400"/>
    <m/>
    <n v="9000"/>
  </r>
  <r>
    <x v="1"/>
    <s v="SIRI - Strengthening the Resilience of IDPS, Refugees and Vulnerable Host Communities in East Sudan (SDC)"/>
    <s v="Strengthen Social Cohesion"/>
    <x v="4"/>
    <s v="Halfa Aj Jadeedah"/>
    <n v="500"/>
    <n v="1000"/>
    <m/>
    <n v="1500"/>
    <n v="3000"/>
    <n v="6000"/>
    <m/>
    <n v="9000"/>
    <n v="6000"/>
    <n v="15000"/>
    <m/>
    <n v="21000"/>
    <n v="3000"/>
    <n v="6000"/>
    <m/>
    <n v="9000"/>
  </r>
  <r>
    <x v="1"/>
    <s v="SIRI - Strengthening the Resilience of IDPS, Refugees and Vulnerable Host Communities in East Sudan (SDC)"/>
    <s v="Agricultural production system"/>
    <x v="4"/>
    <s v="Reifi Khashm Elgirba"/>
    <n v="600"/>
    <n v="900"/>
    <m/>
    <n v="1500"/>
    <n v="3600"/>
    <n v="5400"/>
    <m/>
    <n v="9000"/>
    <n v="5400"/>
    <n v="14400"/>
    <m/>
    <n v="19800"/>
    <n v="3600"/>
    <n v="5400"/>
    <m/>
    <n v="9000"/>
  </r>
  <r>
    <x v="1"/>
    <s v="SIRI - Strengthening the Resilience of IDPS, Refugees and Vulnerable Host Communities in East Sudan (SDC)"/>
    <s v="CMC/CBRM/Conflict Resolution Mechanisms"/>
    <x v="4"/>
    <s v="Reifi Khashm Elgirba"/>
    <n v="20"/>
    <n v="30"/>
    <m/>
    <n v="50"/>
    <n v="800"/>
    <n v="1300"/>
    <m/>
    <n v="2100"/>
    <n v="1300"/>
    <n v="3400"/>
    <m/>
    <n v="4700"/>
    <n v="800"/>
    <n v="1300"/>
    <m/>
    <n v="2100"/>
  </r>
  <r>
    <x v="1"/>
    <s v="SIRI - Strengthening the Resilience of IDPS, Refugees and Vulnerable Host Communities in East Sudan (SDC)"/>
    <s v="Strengthen Social Cohesion"/>
    <x v="4"/>
    <s v="Reifi Khashm Elgirba"/>
    <n v="500"/>
    <n v="1000"/>
    <m/>
    <n v="1500"/>
    <n v="3600"/>
    <n v="5400"/>
    <m/>
    <n v="9000"/>
    <n v="5400"/>
    <n v="14400"/>
    <m/>
    <n v="19800"/>
    <n v="3600"/>
    <n v="5400"/>
    <m/>
    <n v="9000"/>
  </r>
  <r>
    <x v="1"/>
    <s v="SIRI - Strengthening the Resilience of IDPS, Refugees and Vulnerable Host Communities in East Sudan (SDC)"/>
    <s v="Employment/Temporary jobs/Entrepreneurial Opportunities"/>
    <x v="4"/>
    <s v="Reifi Khashm Elgirba"/>
    <n v="100"/>
    <n v="100"/>
    <m/>
    <n v="200"/>
    <n v="600"/>
    <n v="600"/>
    <m/>
    <n v="1200"/>
    <n v="600"/>
    <n v="1800"/>
    <m/>
    <n v="2400"/>
    <n v="600"/>
    <n v="600"/>
    <m/>
    <n v="1200"/>
  </r>
  <r>
    <x v="1"/>
    <s v="SIRI - Strengthening the Resilience of IDPS, Refugees and Vulnerable Host Communities in East Sudan (SDC)"/>
    <s v="Cash for work"/>
    <x v="4"/>
    <s v="Reifi Khashm Elgirba"/>
    <n v="20"/>
    <n v="30"/>
    <m/>
    <n v="50"/>
    <n v="180"/>
    <n v="240"/>
    <m/>
    <n v="420"/>
    <n v="240"/>
    <n v="660"/>
    <m/>
    <n v="900"/>
    <n v="180"/>
    <n v="240"/>
    <m/>
    <n v="420"/>
  </r>
  <r>
    <x v="1"/>
    <s v="SIRI - Strengthening Food Security and Livelihoods - JSB"/>
    <s v="Agricultural production system"/>
    <x v="2"/>
    <s v="Tokar"/>
    <n v="174"/>
    <n v="161"/>
    <m/>
    <n v="335"/>
    <n v="278"/>
    <n v="269"/>
    <m/>
    <n v="547"/>
    <n v="1044"/>
    <n v="966"/>
    <m/>
    <n v="2010"/>
    <n v="1668"/>
    <n v="1614"/>
    <m/>
    <n v="3282"/>
  </r>
  <r>
    <x v="1"/>
    <s v="SIRI - Strengthening Food Security and Livelihoods - JSB"/>
    <s v="Agricultural production system"/>
    <x v="2"/>
    <s v="Sinkat"/>
    <n v="174"/>
    <n v="160"/>
    <m/>
    <n v="334"/>
    <n v="121"/>
    <n v="119"/>
    <m/>
    <n v="240"/>
    <n v="1044"/>
    <n v="960"/>
    <m/>
    <n v="2004"/>
    <n v="726"/>
    <n v="714"/>
    <m/>
    <n v="1440"/>
  </r>
  <r>
    <x v="1"/>
    <s v="SIRI - Strengthening Food Security and Livelihoods - JSB"/>
    <s v="Agricultural production system"/>
    <x v="2"/>
    <s v="Port Sudan"/>
    <n v="174"/>
    <n v="161"/>
    <m/>
    <n v="335"/>
    <n v="287"/>
    <n v="315"/>
    <m/>
    <n v="602"/>
    <n v="1044"/>
    <n v="966"/>
    <m/>
    <n v="2010"/>
    <n v="1722"/>
    <n v="1890"/>
    <m/>
    <n v="3612"/>
  </r>
  <r>
    <x v="1"/>
    <s v="SIRI - Strengthening Food Security and Livelihoods - JSB"/>
    <s v="Employment/Temporary jobs/Entrepreneurial Opportunities"/>
    <x v="2"/>
    <s v="Tokar"/>
    <n v="68"/>
    <n v="63"/>
    <m/>
    <n v="131"/>
    <n v="27"/>
    <n v="310"/>
    <m/>
    <n v="337"/>
    <n v="408"/>
    <n v="378"/>
    <m/>
    <n v="786"/>
    <n v="162"/>
    <n v="1860"/>
    <m/>
    <n v="2022"/>
  </r>
  <r>
    <x v="1"/>
    <s v="SIRI - Strengthening Food Security and Livelihoods - JSB"/>
    <s v="Employment/Temporary jobs/Entrepreneurial Opportunities"/>
    <x v="2"/>
    <s v="Sinkat"/>
    <n v="68"/>
    <n v="63"/>
    <m/>
    <n v="131"/>
    <n v="26"/>
    <n v="309"/>
    <m/>
    <n v="335"/>
    <n v="408"/>
    <n v="378"/>
    <m/>
    <n v="786"/>
    <n v="156"/>
    <n v="1854"/>
    <m/>
    <n v="2010"/>
  </r>
  <r>
    <x v="1"/>
    <s v="SIRI - Strengthening Food Security and Livelihoods - JSB"/>
    <s v="Employment/Temporary jobs/Entrepreneurial Opportunities"/>
    <x v="2"/>
    <s v="Port Sudan"/>
    <n v="68"/>
    <n v="62"/>
    <m/>
    <n v="130"/>
    <n v="26"/>
    <n v="309"/>
    <m/>
    <n v="335"/>
    <n v="408"/>
    <n v="372"/>
    <m/>
    <n v="780"/>
    <n v="156"/>
    <n v="1854"/>
    <m/>
    <n v="2010"/>
  </r>
  <r>
    <x v="1"/>
    <s v="SIRI - Strengthening Food Security and Livelihoods - JSB"/>
    <s v="Solar Pumping"/>
    <x v="2"/>
    <s v="Sinkat"/>
    <n v="53"/>
    <n v="97"/>
    <m/>
    <n v="150"/>
    <n v="26"/>
    <n v="24"/>
    <m/>
    <n v="50"/>
    <n v="318"/>
    <n v="582"/>
    <m/>
    <n v="900"/>
    <n v="156"/>
    <n v="144"/>
    <m/>
    <n v="300"/>
  </r>
  <r>
    <x v="1"/>
    <s v="SIRI - Strengthening Food Security and Livelihoods - JSB"/>
    <s v="Solar Streetlight"/>
    <x v="2"/>
    <s v="Tokar"/>
    <n v="468"/>
    <n v="432"/>
    <m/>
    <n v="900"/>
    <n v="520"/>
    <n v="480"/>
    <m/>
    <n v="1000"/>
    <n v="468"/>
    <n v="432"/>
    <m/>
    <n v="900"/>
    <n v="3120"/>
    <n v="2880"/>
    <m/>
    <n v="6000"/>
  </r>
  <r>
    <x v="1"/>
    <s v="SIRI - Strengthening Food Security and Livelihoods - JSB"/>
    <s v="Solar Streetlight"/>
    <x v="2"/>
    <s v="Sinkat"/>
    <n v="468"/>
    <n v="432"/>
    <m/>
    <n v="900"/>
    <n v="520"/>
    <n v="480"/>
    <m/>
    <n v="1000"/>
    <n v="468"/>
    <n v="432"/>
    <m/>
    <n v="900"/>
    <n v="3120"/>
    <n v="2880"/>
    <m/>
    <n v="6000"/>
  </r>
  <r>
    <x v="1"/>
    <s v="SIRI - Strengthening Food Security and Livelihoods - JSB"/>
    <s v="Solar Streetlight"/>
    <x v="2"/>
    <s v="Port Sudan"/>
    <n v="468"/>
    <n v="432"/>
    <m/>
    <n v="900"/>
    <n v="520"/>
    <n v="480"/>
    <m/>
    <n v="1000"/>
    <n v="468"/>
    <n v="432"/>
    <m/>
    <n v="900"/>
    <n v="3120"/>
    <n v="2880"/>
    <m/>
    <n v="6000"/>
  </r>
  <r>
    <x v="1"/>
    <s v="SIRI - Strengthening Food Security and Livelihoods - JSB"/>
    <s v="Capacity building/vocational training/training"/>
    <x v="2"/>
    <s v="Tokar"/>
    <n v="15"/>
    <n v="14"/>
    <m/>
    <n v="29"/>
    <n v="38"/>
    <n v="8"/>
    <m/>
    <n v="46"/>
    <n v="90"/>
    <n v="84"/>
    <m/>
    <n v="174"/>
    <n v="228"/>
    <n v="48"/>
    <m/>
    <n v="276"/>
  </r>
  <r>
    <x v="1"/>
    <s v="SIRI - Strengthening Food Security and Livelihoods - JSB"/>
    <s v="Capacity building/vocational training/training"/>
    <x v="2"/>
    <s v="Sinkat"/>
    <n v="16"/>
    <n v="15"/>
    <m/>
    <n v="31"/>
    <n v="12"/>
    <n v="7"/>
    <m/>
    <n v="19"/>
    <n v="96"/>
    <n v="90"/>
    <m/>
    <n v="186"/>
    <n v="72"/>
    <n v="42"/>
    <m/>
    <n v="114"/>
  </r>
  <r>
    <x v="1"/>
    <s v="SIRI - Strengthening Food Security and Livelihoods - JSB"/>
    <s v="CMC/CBRM/Conflict Resolution Mechanisms"/>
    <x v="2"/>
    <s v="Tokar"/>
    <n v="10"/>
    <n v="10"/>
    <m/>
    <n v="20"/>
    <n v="9"/>
    <n v="13"/>
    <m/>
    <n v="22"/>
    <n v="60"/>
    <n v="60"/>
    <m/>
    <n v="120"/>
    <n v="54"/>
    <n v="78"/>
    <m/>
    <n v="132"/>
  </r>
  <r>
    <x v="1"/>
    <s v="SIRI - Strengthening Food Security and Livelihoods - JSB"/>
    <s v="CMC/CBRM/Conflict Resolution Mechanisms"/>
    <x v="2"/>
    <s v="Sinkat"/>
    <n v="10"/>
    <n v="10"/>
    <m/>
    <n v="20"/>
    <n v="9"/>
    <n v="13"/>
    <m/>
    <n v="22"/>
    <n v="60"/>
    <n v="60"/>
    <m/>
    <n v="120"/>
    <n v="54"/>
    <n v="78"/>
    <m/>
    <n v="132"/>
  </r>
  <r>
    <x v="1"/>
    <s v="SIRI - Strengthening Food Security and Livelihoods - JSB"/>
    <s v="CMC/CBRM/Conflict Resolution Mechanisms"/>
    <x v="2"/>
    <s v="Port Sudan"/>
    <n v="10"/>
    <n v="10"/>
    <m/>
    <n v="20"/>
    <n v="9"/>
    <n v="13"/>
    <m/>
    <n v="22"/>
    <n v="60"/>
    <n v="60"/>
    <m/>
    <n v="120"/>
    <n v="54"/>
    <n v="78"/>
    <m/>
    <n v="132"/>
  </r>
  <r>
    <x v="1"/>
    <s v="SIRI - Enhancing Access to Water Infrastructure for IDPs Refugees And Host Communities"/>
    <s v="Capacity building/vocational training/training"/>
    <x v="3"/>
    <s v="Al Qureisha"/>
    <n v="2"/>
    <n v="10"/>
    <m/>
    <n v="12"/>
    <n v="2"/>
    <n v="10"/>
    <m/>
    <n v="12"/>
    <n v="2"/>
    <n v="10"/>
    <m/>
    <n v="12"/>
    <n v="2"/>
    <n v="10"/>
    <m/>
    <n v="12"/>
  </r>
  <r>
    <x v="1"/>
    <s v="SIRI - Enhancing Access to Water Infrastructure for IDPs Refugees And Host Communities"/>
    <s v="Capacity building/vocational training/training"/>
    <x v="9"/>
    <s v="Al Hasahisa/Al Kamlin"/>
    <n v="8"/>
    <n v="14"/>
    <m/>
    <n v="22"/>
    <n v="8"/>
    <n v="14"/>
    <m/>
    <n v="22"/>
    <n v="8"/>
    <n v="14"/>
    <m/>
    <n v="22"/>
    <n v="8"/>
    <n v="14"/>
    <m/>
    <n v="22"/>
  </r>
  <r>
    <x v="1"/>
    <s v="SIRI - Enhancing Access to Water Infrastructure for IDPs Refugees And Host Communities"/>
    <s v="Capacity building/vocational training/training"/>
    <x v="0"/>
    <s v="Ad-Damar/ Almatama"/>
    <n v="3"/>
    <n v="16"/>
    <m/>
    <n v="19"/>
    <n v="3"/>
    <n v="16"/>
    <m/>
    <n v="19"/>
    <n v="3"/>
    <n v="16"/>
    <m/>
    <n v="19"/>
    <n v="3"/>
    <n v="16"/>
    <m/>
    <n v="19"/>
  </r>
  <r>
    <x v="1"/>
    <s v="SIRI - Enhancing Access to Water Infrastructure for IDPs Refugees And Host Communities"/>
    <s v="Capacity building/vocational training/training"/>
    <x v="6"/>
    <s v="Singa"/>
    <n v="8"/>
    <n v="13"/>
    <m/>
    <n v="21"/>
    <n v="8"/>
    <n v="13"/>
    <m/>
    <n v="21"/>
    <n v="8"/>
    <n v="13"/>
    <m/>
    <n v="21"/>
    <n v="8"/>
    <n v="13"/>
    <m/>
    <n v="21"/>
  </r>
  <r>
    <x v="2"/>
    <s v="ROL_Rebuilding Sudan's Peacebuilding Architecture: 00133549  "/>
    <s v="Access to Justice and RoL"/>
    <x v="11"/>
    <s v="Kadugli"/>
    <n v="75"/>
    <n v="75"/>
    <n v="45"/>
    <n v="195"/>
    <n v="20"/>
    <n v="40"/>
    <n v="20"/>
    <n v="80"/>
    <n v="450"/>
    <n v="450"/>
    <n v="270"/>
    <n v="1170"/>
    <n v="170"/>
    <n v="240"/>
    <n v="160"/>
    <n v="570"/>
  </r>
  <r>
    <x v="2"/>
    <s v="ROL_Rebuilding Sudan's Peacebuilding Architecture: 00133550"/>
    <s v="Access to Justice and RoL"/>
    <x v="9"/>
    <s v="Medani Al Kubra"/>
    <n v="0"/>
    <n v="0"/>
    <n v="0"/>
    <n v="0"/>
    <n v="1"/>
    <n v="1"/>
    <n v="1"/>
    <n v="3"/>
    <n v="0"/>
    <n v="0"/>
    <n v="0"/>
    <n v="0"/>
    <n v="150"/>
    <n v="100"/>
    <n v="130"/>
    <n v="380"/>
  </r>
  <r>
    <x v="2"/>
    <s v="ROL_Rebuilding Sudan's Peacebuilding Architecture: 00133551"/>
    <s v="Access to Justice and RoL"/>
    <x v="7"/>
    <s v="Ed Damazine"/>
    <n v="0"/>
    <n v="0"/>
    <n v="0"/>
    <n v="0"/>
    <n v="2"/>
    <n v="0"/>
    <n v="0"/>
    <n v="2"/>
    <n v="0"/>
    <n v="0"/>
    <n v="0"/>
    <n v="0"/>
    <n v="200"/>
    <n v="150"/>
    <n v="80"/>
    <n v="430"/>
  </r>
  <r>
    <x v="2"/>
    <s v="ROL_Rebuilding Sudan's Peacebuilding Architecture: 00133552"/>
    <s v="Access to Justice and RoL"/>
    <x v="2"/>
    <s v="Port Sudan"/>
    <n v="0"/>
    <n v="0"/>
    <n v="0"/>
    <n v="0"/>
    <n v="25"/>
    <n v="25"/>
    <n v="20"/>
    <n v="70"/>
    <n v="0"/>
    <n v="0"/>
    <n v="0"/>
    <n v="0"/>
    <n v="500"/>
    <n v="900"/>
    <n v="200"/>
    <n v="1600"/>
  </r>
  <r>
    <x v="2"/>
    <s v="ROL_Rebuilding Sudan's Peacebuilding Architecture: 00133553"/>
    <s v="Access to Justice and RoL"/>
    <x v="4"/>
    <s v="Madeinat Kassala"/>
    <n v="0"/>
    <n v="0"/>
    <n v="0"/>
    <n v="0"/>
    <n v="30"/>
    <n v="40"/>
    <n v="20"/>
    <n v="90"/>
    <n v="0"/>
    <n v="0"/>
    <n v="0"/>
    <n v="0"/>
    <n v="500"/>
    <n v="600"/>
    <n v="200"/>
    <n v="1300"/>
  </r>
  <r>
    <x v="2"/>
    <s v="ROL_Rebuilding Sudan's Peacebuilding Architecture: 00133554"/>
    <s v="Access to Justice and RoL"/>
    <x v="3"/>
    <s v="Madeinat Al Gedaref"/>
    <n v="0"/>
    <n v="0"/>
    <n v="0"/>
    <n v="0"/>
    <n v="35"/>
    <n v="40"/>
    <n v="20"/>
    <n v="95"/>
    <n v="0"/>
    <n v="0"/>
    <n v="0"/>
    <n v="0"/>
    <n v="800"/>
    <n v="1200"/>
    <n v="400"/>
    <n v="2400"/>
  </r>
  <r>
    <x v="2"/>
    <s v="ROL_Rebuilding Sudan's Peacebuilding Architecture: 00133555"/>
    <s v="Access to Justice and RoL"/>
    <x v="17"/>
    <s v="Tawila"/>
    <n v="200"/>
    <n v="45"/>
    <n v="45"/>
    <n v="290"/>
    <n v="187"/>
    <n v="120"/>
    <n v="30"/>
    <n v="337"/>
    <n v="800"/>
    <n v="1200"/>
    <n v="0"/>
    <n v="2000"/>
    <n v="1000"/>
    <n v="900"/>
    <n v="400"/>
    <n v="2300"/>
  </r>
  <r>
    <x v="2"/>
    <s v="ROL_Rebuilding Sudan's Peacebuilding Architecture: 00133556"/>
    <s v="Reactivation of Community Protection &amp; Mediation Mechanisms for Civilian Safety and Justice "/>
    <x v="17"/>
    <s v="Dar As Salam"/>
    <n v="200"/>
    <n v="45"/>
    <n v="45"/>
    <n v="290"/>
    <n v="89"/>
    <n v="71"/>
    <n v="52"/>
    <n v="212"/>
    <n v="800"/>
    <n v="1200"/>
    <n v="0"/>
    <n v="2000"/>
    <n v="1200"/>
    <n v="720"/>
    <n v="250"/>
    <n v="2170"/>
  </r>
  <r>
    <x v="2"/>
    <s v="ROL_Rebuilding Sudan's Peacebuilding Architecture: 00133557"/>
    <s v="Reactivation of Community Protection &amp; Mediation Mechanisms for Civilian Safety and Justice "/>
    <x v="17"/>
    <s v="At Tawisha"/>
    <n v="200"/>
    <n v="45"/>
    <n v="45"/>
    <n v="290"/>
    <n v="187"/>
    <n v="120"/>
    <n v="50"/>
    <n v="357"/>
    <n v="800"/>
    <n v="1200"/>
    <n v="0"/>
    <n v="2000"/>
    <n v="1200"/>
    <n v="720"/>
    <n v="250"/>
    <n v="2170"/>
  </r>
  <r>
    <x v="2"/>
    <s v="ROL_Rebuilding Sudan's Peacebuilding Architecture: 00133558"/>
    <s v="Reactivation of Community Protection &amp; Mediation Mechanisms for Civilian Safety and Justice "/>
    <x v="12"/>
    <s v="Nyala Shimal"/>
    <n v="200"/>
    <n v="45"/>
    <n v="45"/>
    <n v="290"/>
    <n v="140"/>
    <n v="90"/>
    <n v="74"/>
    <n v="304"/>
    <n v="270"/>
    <n v="1740"/>
    <n v="534"/>
    <n v="2544"/>
    <n v="534"/>
    <n v="420"/>
    <n v="260"/>
    <n v="1214"/>
  </r>
  <r>
    <x v="2"/>
    <s v="ROL_Rebuilding Sudan's Peacebuilding Architecture: 00133559"/>
    <s v="Reactivation of Community Protection &amp; Mediation Mechanisms for Civilian Safety and Justice "/>
    <x v="12"/>
    <s v="Nyala Shimal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Promoting Spaces for Conflict Prevention and Reduced Vulnerability in Abyei"/>
    <s v="Strengthen Social Cohesion"/>
    <x v="18"/>
    <s v="Abyei PCA area"/>
    <n v="170"/>
    <n v="220"/>
    <n v="120"/>
    <n v="510"/>
    <n v="40"/>
    <n v="60"/>
    <n v="40"/>
    <n v="140"/>
    <n v="2500"/>
    <n v="3500"/>
    <n v="1500"/>
    <n v="7500"/>
    <n v="100"/>
    <n v="100"/>
    <n v="50"/>
    <n v="250"/>
  </r>
  <r>
    <x v="2"/>
    <s v="UN- Action-Urgent and Lifesaving Support for Conflict-Related Sexual Violence Survivors in Sudan"/>
    <s v="Capacity building/vocational training/training"/>
    <x v="19"/>
    <m/>
    <m/>
    <m/>
    <m/>
    <m/>
    <m/>
    <m/>
    <m/>
    <m/>
    <m/>
    <m/>
    <m/>
    <m/>
    <m/>
    <m/>
    <m/>
    <m/>
  </r>
  <r>
    <x v="2"/>
    <s v="UN- Action-Urgent and Lifesaving Support for Conflict-Related Sexual Violence Survivors in Sudan"/>
    <s v="Strengthen Social Cohesion"/>
    <x v="19"/>
    <m/>
    <m/>
    <m/>
    <m/>
    <m/>
    <m/>
    <m/>
    <m/>
    <m/>
    <m/>
    <m/>
    <m/>
    <m/>
    <m/>
    <m/>
    <m/>
    <m/>
  </r>
  <r>
    <x v="2"/>
    <s v="UN- Action-Urgent and Lifesaving Support for Conflict-Related Sexual Violence Survivors in Sudan"/>
    <s v="Gender-Based Violence Response"/>
    <x v="19"/>
    <m/>
    <m/>
    <m/>
    <m/>
    <m/>
    <m/>
    <m/>
    <m/>
    <m/>
    <m/>
    <m/>
    <m/>
    <m/>
    <m/>
    <m/>
    <m/>
    <m/>
  </r>
  <r>
    <x v="2"/>
    <s v="Advancing the Women, Peace, and Security Agenda in Sudan"/>
    <s v="Empowering women/Women Leadership"/>
    <x v="19"/>
    <m/>
    <m/>
    <m/>
    <m/>
    <m/>
    <m/>
    <m/>
    <m/>
    <m/>
    <m/>
    <m/>
    <m/>
    <m/>
    <m/>
    <m/>
    <m/>
    <m/>
  </r>
  <r>
    <x v="2"/>
    <s v="Advancing the Women, Peace, and Security Agenda in Sudan"/>
    <s v="Capacity building/vocational training/training"/>
    <x v="19"/>
    <m/>
    <m/>
    <m/>
    <m/>
    <m/>
    <m/>
    <m/>
    <m/>
    <m/>
    <m/>
    <m/>
    <m/>
    <m/>
    <m/>
    <m/>
    <m/>
    <m/>
  </r>
  <r>
    <x v="3"/>
    <s v="_x0009_Building resilience in the face of climate change within traditional rain fed agricultural and pastoral systems in Sudan_x000a_BRCC 00123540"/>
    <s v="Water-yard rehabilitation"/>
    <x v="4"/>
    <s v="Kassala"/>
    <n v="2526"/>
    <n v="3478"/>
    <n v="0"/>
    <n v="6004"/>
    <n v="150"/>
    <n v="468"/>
    <n v="0"/>
    <n v="618"/>
    <n v="12630"/>
    <n v="17390"/>
    <n v="0"/>
    <n v="30020"/>
    <n v="750"/>
    <n v="2340"/>
    <n v="0"/>
    <n v="3090"/>
  </r>
  <r>
    <x v="3"/>
    <s v="_x0009_Building resilience in the face of climate change within traditional rain fed agricultural and pastoral systems in Sudan_x000a_BRCC 00123541"/>
    <s v="Water-yard rehabilitation"/>
    <x v="2"/>
    <s v="Agig"/>
    <n v="2245"/>
    <n v="3088"/>
    <n v="0"/>
    <n v="5333"/>
    <n v="120"/>
    <n v="387"/>
    <n v="0"/>
    <n v="507"/>
    <n v="11225"/>
    <n v="15440"/>
    <n v="0"/>
    <n v="26665"/>
    <n v="600"/>
    <n v="1935"/>
    <n v="0"/>
    <n v="2535"/>
  </r>
  <r>
    <x v="3"/>
    <s v="_x0009_Building resilience in the face of climate change within traditional rain fed agricultural and pastoral systems in Sudan_x000a_BRCC 00123542"/>
    <s v="Water-yard rehabilitation"/>
    <x v="2"/>
    <s v="Haya/Dordaib"/>
    <n v="2806"/>
    <n v="3861"/>
    <n v="0"/>
    <n v="6667"/>
    <n v="86"/>
    <n v="109"/>
    <n v="0"/>
    <n v="195"/>
    <n v="14030"/>
    <n v="19305"/>
    <n v="0"/>
    <n v="33335"/>
    <n v="430"/>
    <n v="545"/>
    <n v="0"/>
    <n v="975"/>
  </r>
  <r>
    <x v="3"/>
    <s v="_x0009_Building resilience in the face of climate change within traditional rain fed agricultural and pastoral systems in Sudan_x000a_BRCC 00123543"/>
    <s v="Water-yard rehabilitation"/>
    <x v="1"/>
    <s v="Dongola "/>
    <n v="728"/>
    <n v="1003"/>
    <n v="0"/>
    <n v="1731"/>
    <n v="67"/>
    <n v="112"/>
    <n v="0"/>
    <n v="179"/>
    <n v="3640"/>
    <n v="5015"/>
    <n v="0"/>
    <n v="8655"/>
    <n v="335"/>
    <n v="560"/>
    <n v="0"/>
    <n v="895"/>
  </r>
  <r>
    <x v="3"/>
    <s v="_x0009_Building resilience in the face of climate change within traditional rain fed agricultural and pastoral systems in Sudan_x000a_BRCC 00123544"/>
    <s v="Water-yard rehabilitation"/>
    <x v="1"/>
    <s v="Marawi"/>
    <n v="936"/>
    <n v="1620"/>
    <n v="0"/>
    <n v="2556"/>
    <n v="45"/>
    <n v="220"/>
    <n v="0"/>
    <n v="265"/>
    <n v="4680"/>
    <n v="8100"/>
    <n v="0"/>
    <n v="12780"/>
    <n v="225"/>
    <n v="1100"/>
    <n v="0"/>
    <n v="1325"/>
  </r>
  <r>
    <x v="3"/>
    <s v="_x0009_Building resilience in the face of climate change within traditional rain fed agricultural and pastoral systems in Sudan_x000a_BRCC 00123545"/>
    <s v="Water-yard rehabilitation"/>
    <x v="1"/>
    <s v="Aldabbah"/>
    <n v="1094"/>
    <n v="1506"/>
    <n v="0"/>
    <n v="2600"/>
    <n v="102"/>
    <n v="245"/>
    <n v="0"/>
    <n v="347"/>
    <n v="5470"/>
    <n v="7530"/>
    <n v="0"/>
    <n v="13000"/>
    <n v="510"/>
    <n v="1225"/>
    <n v="0"/>
    <n v="1735"/>
  </r>
  <r>
    <x v="3"/>
    <s v="_x0009_Building resilience in the face of climate change within traditional rain fed agricultural and pastoral systems in Sudan_x000a_BRCC 00123546"/>
    <s v="New Water-yard construction"/>
    <x v="4"/>
    <s v="Kassala"/>
    <n v="3367"/>
    <n v="4631"/>
    <n v="0"/>
    <n v="7998"/>
    <n v="159"/>
    <n v="481"/>
    <n v="0"/>
    <n v="640"/>
    <n v="16835"/>
    <n v="23155"/>
    <n v="0"/>
    <n v="39990"/>
    <n v="795"/>
    <n v="2405"/>
    <n v="0"/>
    <n v="3200"/>
  </r>
  <r>
    <x v="3"/>
    <s v="_x0009_Building resilience in the face of climate change within traditional rain fed agricultural and pastoral systems in Sudan_x000a_BRCC 00123547"/>
    <s v="New Water-yard construction"/>
    <x v="4"/>
    <s v="Telkuk"/>
    <n v="2074"/>
    <n v="3825"/>
    <n v="0"/>
    <n v="5899"/>
    <n v="82"/>
    <n v="129"/>
    <n v="0"/>
    <n v="211"/>
    <n v="10370"/>
    <n v="19125"/>
    <n v="0"/>
    <n v="29495"/>
    <n v="410"/>
    <n v="645"/>
    <n v="0"/>
    <n v="1055"/>
  </r>
  <r>
    <x v="3"/>
    <s v="_x0009_Building resilience in the face of climate change within traditional rain fed agricultural and pastoral systems in Sudan_x000a_BRCC 00123548"/>
    <s v="New Water-yard construction"/>
    <x v="2"/>
    <s v="Agig"/>
    <n v="2018"/>
    <n v="2782"/>
    <n v="0"/>
    <n v="4800"/>
    <n v="46"/>
    <n v="137"/>
    <n v="0"/>
    <n v="183"/>
    <n v="10090"/>
    <n v="13910"/>
    <n v="0"/>
    <n v="24000"/>
    <n v="230"/>
    <n v="685"/>
    <n v="0"/>
    <n v="915"/>
  </r>
  <r>
    <x v="3"/>
    <s v="_x0009_Building resilience in the face of climate change within traditional rain fed agricultural and pastoral systems in Sudan_x000a_BRCC 00123549"/>
    <s v="New Water-yard construction"/>
    <x v="2"/>
    <s v="Haya/Dordaib"/>
    <n v="2357"/>
    <n v="3246"/>
    <n v="0"/>
    <n v="5603"/>
    <n v="51"/>
    <n v="275"/>
    <n v="0"/>
    <n v="326"/>
    <n v="11785"/>
    <n v="16230"/>
    <n v="0"/>
    <n v="28015"/>
    <n v="255"/>
    <n v="1375"/>
    <n v="0"/>
    <n v="1630"/>
  </r>
  <r>
    <x v="3"/>
    <s v="_x0009_Building resilience in the face of climate change within traditional rain fed agricultural and pastoral systems in Sudan_x000a_BRCC 00123550"/>
    <s v="New Water-yard construction"/>
    <x v="2"/>
    <s v="Guneb Olib"/>
    <n v="1947"/>
    <n v="3053"/>
    <n v="0"/>
    <n v="5000"/>
    <n v="60"/>
    <n v="138"/>
    <n v="0"/>
    <n v="198"/>
    <n v="9735"/>
    <n v="15267"/>
    <n v="0"/>
    <n v="25002"/>
    <n v="600"/>
    <n v="692"/>
    <n v="0"/>
    <n v="1292"/>
  </r>
  <r>
    <x v="3"/>
    <s v="_x0009_Building resilience in the face of climate change within traditional rain fed agricultural and pastoral systems in Sudan_x000a_BRCC 00123551"/>
    <s v="New Water-yard construction"/>
    <x v="1"/>
    <s v="Dongola "/>
    <n v="1019"/>
    <n v="1402"/>
    <n v="0"/>
    <n v="2421"/>
    <n v="420"/>
    <n v="673"/>
    <n v="0"/>
    <n v="1093"/>
    <n v="5097"/>
    <n v="7014"/>
    <n v="0"/>
    <n v="12111"/>
    <n v="2100"/>
    <n v="3364"/>
    <n v="0"/>
    <n v="5464"/>
  </r>
  <r>
    <x v="3"/>
    <s v="_x0009_Building resilience in the face of climate change within traditional rain fed agricultural and pastoral systems in Sudan_x000a_BRCC 00123552"/>
    <s v="New Water-yard construction"/>
    <x v="1"/>
    <s v="Marawi"/>
    <n v="806"/>
    <n v="1452"/>
    <n v="0"/>
    <n v="2258"/>
    <n v="0"/>
    <n v="0"/>
    <n v="0"/>
    <n v="0"/>
    <n v="4030"/>
    <n v="7260"/>
    <n v="0"/>
    <n v="11290"/>
    <n v="0"/>
    <n v="0"/>
    <n v="0"/>
    <n v="0"/>
  </r>
  <r>
    <x v="3"/>
    <s v="_x0009_Building resilience in the face of climate change within traditional rain fed agricultural and pastoral systems in Sudan_x000a_BRCC 00123553"/>
    <s v="New Water-yard construction"/>
    <x v="20"/>
    <s v="West Omdurman"/>
    <n v="1063"/>
    <n v="1230"/>
    <n v="0"/>
    <n v="2293"/>
    <n v="0"/>
    <n v="0"/>
    <n v="0"/>
    <n v="0"/>
    <n v="5315"/>
    <n v="6150"/>
    <n v="0"/>
    <n v="11465"/>
    <n v="0"/>
    <n v="0"/>
    <n v="0"/>
    <n v="0"/>
  </r>
  <r>
    <x v="3"/>
    <s v="_x0009_Building resilience in the face of climate change within traditional rain fed agricultural and pastoral systems in Sudan_x000a_BRCC 00123554"/>
    <s v="Haffir  rehabilitation"/>
    <x v="4"/>
    <s v="Rural Nahr Atbara"/>
    <n v="3291"/>
    <n v="4527"/>
    <n v="0"/>
    <n v="7818"/>
    <n v="800"/>
    <n v="1250"/>
    <n v="0"/>
    <n v="2050"/>
    <n v="16455"/>
    <n v="22635"/>
    <n v="0"/>
    <n v="39090"/>
    <n v="4000"/>
    <n v="6250"/>
    <n v="0"/>
    <n v="10250"/>
  </r>
  <r>
    <x v="3"/>
    <s v="_x0009_Building resilience in the face of climate change within traditional rain fed agricultural and pastoral systems in Sudan_x000a_BRCC 00123555"/>
    <s v="Haffir  rehabilitation"/>
    <x v="2"/>
    <s v="Guneb Olib"/>
    <n v="2105"/>
    <n v="2895"/>
    <n v="0"/>
    <n v="5000"/>
    <n v="0"/>
    <n v="0"/>
    <n v="0"/>
    <n v="0"/>
    <n v="10525"/>
    <n v="14475"/>
    <n v="0"/>
    <n v="25000"/>
    <n v="0"/>
    <n v="0"/>
    <n v="0"/>
    <n v="0"/>
  </r>
  <r>
    <x v="3"/>
    <s v="_x0009_Building resilience in the face of climate change within traditional rain fed agricultural and pastoral systems in Sudan_x000a_BRCC 00123556"/>
    <s v="New Haffir  construction"/>
    <x v="4"/>
    <s v="Rural Nahr Atbara"/>
    <n v="3789"/>
    <n v="5210"/>
    <n v="0"/>
    <n v="8999"/>
    <n v="0"/>
    <n v="0"/>
    <n v="0"/>
    <n v="0"/>
    <n v="18945"/>
    <n v="26055"/>
    <n v="0"/>
    <n v="45000"/>
    <n v="0"/>
    <n v="0"/>
    <n v="0"/>
    <n v="0"/>
  </r>
  <r>
    <x v="3"/>
    <s v="_x0009_Building resilience in the face of climate change within traditional rain fed agricultural and pastoral systems in Sudan_x000a_BRCC 00123557"/>
    <s v="New Haffir  construction"/>
    <x v="4"/>
    <s v="Telkuk"/>
    <n v="2210"/>
    <n v="3751"/>
    <n v="0"/>
    <n v="5961"/>
    <n v="0"/>
    <n v="0"/>
    <n v="0"/>
    <n v="0"/>
    <n v="10600"/>
    <n v="18755"/>
    <n v="0"/>
    <n v="29355"/>
    <n v="0"/>
    <n v="0"/>
    <n v="0"/>
    <n v="0"/>
  </r>
  <r>
    <x v="3"/>
    <s v="_x0009_Building resilience in the face of climate change within traditional rain fed agricultural and pastoral systems in Sudan_x000a_BRCC 00123558"/>
    <s v="New Haffir  construction"/>
    <x v="2"/>
    <s v="Agig"/>
    <n v="1516"/>
    <n v="2084"/>
    <n v="0"/>
    <n v="3600"/>
    <n v="0"/>
    <n v="0"/>
    <n v="0"/>
    <n v="0"/>
    <n v="7580"/>
    <n v="10420"/>
    <n v="0"/>
    <n v="18000"/>
    <n v="0"/>
    <n v="0"/>
    <n v="0"/>
    <n v="0"/>
  </r>
  <r>
    <x v="3"/>
    <s v="_x0009_Building resilience in the face of climate change within traditional rain fed agricultural and pastoral systems in Sudan_x000a_BRCC 00123559"/>
    <s v="New Haffir  construction"/>
    <x v="2"/>
    <s v="Haya/Dordaib"/>
    <n v="2183"/>
    <n v="2767"/>
    <n v="0"/>
    <n v="4950"/>
    <n v="0"/>
    <n v="0"/>
    <n v="0"/>
    <n v="0"/>
    <n v="10915"/>
    <n v="13835"/>
    <n v="0"/>
    <n v="24750"/>
    <n v="0"/>
    <n v="0"/>
    <n v="0"/>
    <n v="0"/>
  </r>
  <r>
    <x v="3"/>
    <s v="_x0009_Building resilience in the face of climate change within traditional rain fed agricultural and pastoral systems in Sudan_x000a_BRCC 00123560"/>
    <s v="New Haffir  construction"/>
    <x v="2"/>
    <s v="Guneb Olib"/>
    <n v="1597"/>
    <n v="2203"/>
    <n v="0"/>
    <n v="3800"/>
    <n v="0"/>
    <n v="0"/>
    <n v="0"/>
    <n v="0"/>
    <n v="7985"/>
    <n v="11015"/>
    <n v="0"/>
    <n v="19000"/>
    <n v="0"/>
    <n v="0"/>
    <n v="0"/>
    <n v="0"/>
  </r>
  <r>
    <x v="3"/>
    <s v="_x0009_Building resilience in the face of climate change within traditional rain fed agricultural and pastoral systems in Sudan_x000a_BRCC 00123561"/>
    <s v="Climate Resilience Initiative/ Adaptive Agriculture Initiative"/>
    <x v="4"/>
    <s v="Kassala"/>
    <n v="2476"/>
    <n v="2800"/>
    <n v="0"/>
    <n v="5276"/>
    <n v="645"/>
    <n v="867"/>
    <n v="0"/>
    <n v="1512"/>
    <n v="12380"/>
    <n v="14000"/>
    <n v="0"/>
    <n v="26380"/>
    <n v="3225"/>
    <n v="0"/>
    <n v="0"/>
    <n v="3225"/>
  </r>
  <r>
    <x v="3"/>
    <s v="_x0009_Building resilience in the face of climate change within traditional rain fed agricultural and pastoral systems in Sudan_x000a_BRCC 00123562"/>
    <s v="Climate Resilience Initiative/ Adaptive Agriculture Initiative"/>
    <x v="2"/>
    <s v="Red Sea"/>
    <n v="1263"/>
    <n v="1737"/>
    <n v="0"/>
    <n v="3000"/>
    <n v="0"/>
    <n v="0"/>
    <n v="0"/>
    <n v="0"/>
    <n v="6315"/>
    <n v="8685"/>
    <n v="0"/>
    <n v="15000"/>
    <n v="0"/>
    <n v="0"/>
    <n v="0"/>
    <n v="0"/>
  </r>
  <r>
    <x v="3"/>
    <s v="_x0009_Building resilience in the face of climate change within traditional rain fed agricultural and pastoral systems in Sudan_x000a_BRCC 00123563"/>
    <s v="Climate Resilience Initiative/ Adaptive Agriculture Initiative"/>
    <x v="1"/>
    <s v="Northern"/>
    <n v="3165"/>
    <n v="4352"/>
    <n v="0"/>
    <n v="7517"/>
    <n v="0"/>
    <n v="0"/>
    <n v="0"/>
    <n v="0"/>
    <n v="15825"/>
    <n v="21760"/>
    <n v="0"/>
    <n v="37585"/>
    <n v="0"/>
    <n v="0"/>
    <n v="0"/>
    <n v="0"/>
  </r>
  <r>
    <x v="3"/>
    <s v="_x0009_Building resilience in the face of climate change within traditional rain fed agricultural and pastoral systems in Sudan_x000a_BRCC 00123564"/>
    <s v="Climate Resilience Initiative/ Adaptive Agriculture Initiative"/>
    <x v="20"/>
    <s v="West Omdurman"/>
    <n v="200"/>
    <n v="420"/>
    <n v="0"/>
    <n v="620"/>
    <n v="0"/>
    <n v="0"/>
    <n v="0"/>
    <n v="0"/>
    <n v="1002"/>
    <n v="2107"/>
    <n v="0"/>
    <n v="3109"/>
    <n v="0"/>
    <n v="0"/>
    <n v="0"/>
    <n v="0"/>
  </r>
  <r>
    <x v="3"/>
    <s v="_x0009_Building resilience in the face of climate change within traditional rain fed agricultural and pastoral systems in Sudan_x000a_BRCC 00123565"/>
    <s v="Capacity building/vocational training/training"/>
    <x v="4"/>
    <s v="Kassala"/>
    <n v="757"/>
    <n v="1046"/>
    <n v="0"/>
    <n v="1803"/>
    <n v="0"/>
    <n v="0"/>
    <n v="0"/>
    <n v="0"/>
    <n v="3785"/>
    <n v="5230"/>
    <n v="0"/>
    <n v="9015"/>
    <n v="0"/>
    <n v="0"/>
    <n v="0"/>
    <n v="0"/>
  </r>
  <r>
    <x v="3"/>
    <s v="_x0009_Building resilience in the face of climate change within traditional rain fed agricultural and pastoral systems in Sudan_x000a_BRCC 00123566"/>
    <s v="Capacity building/vocational training/training"/>
    <x v="2"/>
    <s v="Red Sea"/>
    <n v="428"/>
    <n v="840"/>
    <n v="0"/>
    <n v="1268"/>
    <n v="0"/>
    <n v="0"/>
    <n v="0"/>
    <n v="0"/>
    <n v="2140"/>
    <n v="4200"/>
    <n v="0"/>
    <n v="6340"/>
    <n v="0"/>
    <n v="0"/>
    <n v="0"/>
    <n v="0"/>
  </r>
  <r>
    <x v="3"/>
    <s v="_x0009_Building resilience in the face of climate change within traditional rain fed agricultural and pastoral systems in Sudan_x000a_BRCC 00123567"/>
    <s v="Capacity building/vocational training/training"/>
    <x v="1"/>
    <s v="Northern"/>
    <n v="520"/>
    <n v="1021"/>
    <n v="0"/>
    <n v="1541"/>
    <n v="0"/>
    <n v="0"/>
    <n v="0"/>
    <n v="0"/>
    <n v="2603"/>
    <n v="5109"/>
    <n v="0"/>
    <n v="7712"/>
    <n v="0"/>
    <n v="0"/>
    <n v="0"/>
    <n v="0"/>
  </r>
  <r>
    <x v="3"/>
    <s v="_x0009_Building resilience in the face of climate change within traditional rain fed agricultural and pastoral systems in Sudan_x000a_BRCC 00123568"/>
    <s v="Capacity building/vocational training/training"/>
    <x v="20"/>
    <s v="West Omdurman"/>
    <n v="120"/>
    <n v="200"/>
    <n v="0"/>
    <n v="320"/>
    <n v="0"/>
    <n v="0"/>
    <n v="0"/>
    <n v="0"/>
    <n v="602"/>
    <n v="1007"/>
    <n v="0"/>
    <n v="1609"/>
    <n v="0"/>
    <n v="0"/>
    <n v="0"/>
    <n v="0"/>
  </r>
  <r>
    <x v="3"/>
    <s v="_x0009_Building resilience in the face of climate change within traditional rain fed agricultural and pastoral systems in Sudan_x000a_BRCC 00123569"/>
    <s v="Rangeland, forestry and ecosystem restoration"/>
    <x v="4"/>
    <s v="Kassala"/>
    <n v="5473"/>
    <n v="7527"/>
    <n v="0"/>
    <n v="13000"/>
    <n v="1215"/>
    <n v="2433"/>
    <n v="0"/>
    <n v="3648"/>
    <n v="27365"/>
    <n v="37635"/>
    <n v="0"/>
    <n v="65000"/>
    <n v="6075"/>
    <n v="0"/>
    <n v="0"/>
    <n v="6075"/>
  </r>
  <r>
    <x v="3"/>
    <s v="_x0009_Building resilience in the face of climate change within traditional rain fed agricultural and pastoral systems in Sudan_x000a_BRCC 00123570"/>
    <s v="Rangeland, forestry and ecosystem restoration"/>
    <x v="2"/>
    <s v="Red Sea"/>
    <n v="4209"/>
    <n v="5790"/>
    <n v="0"/>
    <n v="9999"/>
    <n v="400"/>
    <n v="771"/>
    <n v="0"/>
    <n v="1171"/>
    <n v="21045"/>
    <n v="28950"/>
    <n v="0"/>
    <n v="49995"/>
    <n v="2000"/>
    <n v="0"/>
    <n v="0"/>
    <n v="2000"/>
  </r>
  <r>
    <x v="3"/>
    <s v="_x0009_Building resilience in the face of climate change within traditional rain fed agricultural and pastoral systems in Sudan_x000a_BRCC 00123571"/>
    <s v="Rangeland, forestry and ecosystem restoration"/>
    <x v="1"/>
    <s v="Northern"/>
    <n v="3157"/>
    <n v="6843"/>
    <n v="0"/>
    <n v="10000"/>
    <n v="526"/>
    <n v="887"/>
    <n v="0"/>
    <n v="1413"/>
    <n v="15785"/>
    <n v="34215"/>
    <n v="0"/>
    <n v="50000"/>
    <n v="2630"/>
    <n v="0"/>
    <n v="0"/>
    <n v="2630"/>
  </r>
  <r>
    <x v="3"/>
    <s v="Protected Areas &amp; Sustainable Land Managament in Sudan_x000a_PA 00096848"/>
    <s v="Sustainable livelihoods"/>
    <x v="2"/>
    <s v="Red Sea"/>
    <n v="450"/>
    <n v="850"/>
    <n v="0"/>
    <n v="1300"/>
    <n v="176"/>
    <n v="228"/>
    <n v="0"/>
    <n v="404"/>
    <n v="2250"/>
    <n v="4250"/>
    <n v="0"/>
    <n v="6500"/>
    <n v="880"/>
    <n v="1140"/>
    <n v="0"/>
    <n v="2020"/>
  </r>
  <r>
    <x v="3"/>
    <s v="Protected Areas &amp; Sustainable Land Managament in Sudan_x000a_PA 00096849"/>
    <s v="Sustainable livelihoods"/>
    <x v="21"/>
    <s v="Gedarif"/>
    <n v="220"/>
    <n v="960"/>
    <n v="0"/>
    <n v="1180"/>
    <n v="34"/>
    <n v="108"/>
    <n v="0"/>
    <n v="142"/>
    <n v="1100"/>
    <n v="4800"/>
    <n v="0"/>
    <n v="5900"/>
    <n v="170"/>
    <n v="540"/>
    <n v="0"/>
    <n v="710"/>
  </r>
  <r>
    <x v="3"/>
    <s v="Protected Areas &amp; Sustainable Land Managament in Sudan_x000a_PA 00096850"/>
    <s v="Sustainable livelihoods"/>
    <x v="7"/>
    <s v="Blue Nile"/>
    <n v="316"/>
    <n v="1020"/>
    <n v="0"/>
    <n v="1336"/>
    <n v="56"/>
    <n v="94"/>
    <n v="0"/>
    <n v="150"/>
    <n v="1580"/>
    <n v="5100"/>
    <n v="0"/>
    <n v="6680"/>
    <n v="280"/>
    <n v="470"/>
    <n v="0"/>
    <n v="750"/>
  </r>
  <r>
    <x v="3"/>
    <s v="Protected Areas &amp; Sustainable Land Managament in Sudan_x000a_PA 00096851"/>
    <s v="Sustainable livelihoods"/>
    <x v="6"/>
    <s v="Sennar"/>
    <n v="185"/>
    <n v="630"/>
    <n v="0"/>
    <n v="815"/>
    <n v="83"/>
    <n v="116"/>
    <n v="0"/>
    <n v="199"/>
    <n v="925"/>
    <n v="3150"/>
    <n v="0"/>
    <n v="4075"/>
    <n v="415"/>
    <n v="580"/>
    <n v="0"/>
    <n v="995"/>
  </r>
  <r>
    <x v="3"/>
    <s v="Protected Areas &amp; Sustainable Land Managament in Sudan_x000a_PA 00096852"/>
    <s v="Protected area management effectiveness"/>
    <x v="2"/>
    <s v="Red Sea"/>
    <n v="142"/>
    <n v="480"/>
    <n v="0"/>
    <n v="622"/>
    <n v="0"/>
    <n v="0"/>
    <n v="0"/>
    <n v="0"/>
    <n v="710"/>
    <n v="2400"/>
    <n v="0"/>
    <n v="3110"/>
    <n v="0"/>
    <n v="0"/>
    <n v="0"/>
    <n v="0"/>
  </r>
  <r>
    <x v="3"/>
    <s v="Protected Areas &amp; Sustainable Land Managament in Sudan_x000a_PA 00096853"/>
    <s v="Protected area management effectiveness"/>
    <x v="21"/>
    <s v="Gedarif"/>
    <n v="98"/>
    <n v="220"/>
    <n v="0"/>
    <n v="318"/>
    <n v="46"/>
    <n v="82"/>
    <n v="0"/>
    <n v="128"/>
    <n v="490"/>
    <n v="1100"/>
    <n v="0"/>
    <n v="1590"/>
    <n v="230"/>
    <n v="410"/>
    <n v="0"/>
    <n v="640"/>
  </r>
  <r>
    <x v="3"/>
    <s v="Protected Areas &amp; Sustainable Land Managament in Sudan_x000a_PA 00096854"/>
    <s v="Protected area management effectiveness"/>
    <x v="7"/>
    <s v="Blue Nile"/>
    <n v="102"/>
    <n v="324"/>
    <n v="0"/>
    <n v="426"/>
    <n v="23"/>
    <n v="74"/>
    <n v="0"/>
    <n v="97"/>
    <n v="510"/>
    <n v="1620"/>
    <n v="0"/>
    <n v="2130"/>
    <n v="115"/>
    <n v="370"/>
    <n v="0"/>
    <n v="485"/>
  </r>
  <r>
    <x v="3"/>
    <s v="Protected Areas &amp; Sustainable Land Managament in Sudan_x000a_PA 00096855"/>
    <s v="Protected area management effectiveness"/>
    <x v="6"/>
    <s v="Sennar"/>
    <n v="74"/>
    <n v="180"/>
    <n v="0"/>
    <n v="254"/>
    <n v="12"/>
    <n v="38"/>
    <n v="0"/>
    <n v="50"/>
    <n v="370"/>
    <n v="900"/>
    <n v="0"/>
    <n v="1270"/>
    <n v="60"/>
    <n v="190"/>
    <n v="0"/>
    <n v="250"/>
  </r>
  <r>
    <x v="3"/>
    <s v="Protected Areas &amp; Sustainable Land Managament in Sudan_x000a_PA 00096856"/>
    <s v="Capacity building/vocational training/training"/>
    <x v="2"/>
    <s v="Red Sea"/>
    <n v="50"/>
    <n v="216"/>
    <n v="0"/>
    <n v="266"/>
    <n v="18"/>
    <n v="114"/>
    <n v="0"/>
    <n v="132"/>
    <n v="250"/>
    <n v="1080"/>
    <n v="0"/>
    <n v="1330"/>
    <n v="90"/>
    <n v="570"/>
    <n v="0"/>
    <n v="660"/>
  </r>
  <r>
    <x v="3"/>
    <s v="Protected Areas &amp; Sustainable Land Managament in Sudan_x000a_PA 00096857"/>
    <s v="Capacity building/vocational training/training"/>
    <x v="21"/>
    <s v="Gedarif"/>
    <n v="80"/>
    <n v="143"/>
    <n v="0"/>
    <n v="223"/>
    <n v="24"/>
    <n v="56"/>
    <n v="0"/>
    <n v="80"/>
    <n v="400"/>
    <n v="715"/>
    <n v="0"/>
    <n v="1115"/>
    <n v="120"/>
    <n v="280"/>
    <n v="0"/>
    <n v="400"/>
  </r>
  <r>
    <x v="3"/>
    <s v="Protected Areas &amp; Sustainable Land Managament in Sudan_x000a_PA 00096858"/>
    <s v="Capacity building/vocational training/training"/>
    <x v="7"/>
    <s v="Blue Nile"/>
    <n v="40"/>
    <n v="96"/>
    <n v="0"/>
    <n v="136"/>
    <n v="15"/>
    <n v="34"/>
    <n v="0"/>
    <n v="49"/>
    <n v="200"/>
    <n v="480"/>
    <n v="0"/>
    <n v="680"/>
    <n v="75"/>
    <n v="170"/>
    <n v="0"/>
    <n v="245"/>
  </r>
  <r>
    <x v="3"/>
    <s v="Protected Areas &amp; Sustainable Land Managament in Sudan_x000a_PA 00096859"/>
    <s v="Capacity building/vocational training/training"/>
    <x v="6"/>
    <s v="Sennar"/>
    <n v="25"/>
    <n v="80"/>
    <n v="0"/>
    <n v="105"/>
    <n v="11"/>
    <n v="28"/>
    <n v="0"/>
    <n v="39"/>
    <n v="125"/>
    <n v="400"/>
    <n v="0"/>
    <n v="525"/>
    <n v="55"/>
    <n v="140"/>
    <n v="0"/>
    <n v="195"/>
  </r>
  <r>
    <x v="3"/>
    <s v="Sudan national child project - Africa Minigrids Program (AMP)_x000a_AMP 00126615"/>
    <s v="Energy access through mini-grid connections"/>
    <x v="2"/>
    <s v="Halaib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udan national child project - Africa Minigrids Program (AMP)_x000a_AMP 00126616"/>
    <s v="Energy access through mini-grid connections"/>
    <x v="2"/>
    <s v="Gebeit - Elmaadin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udan national child project - Africa Minigrids Program (AMP)_x000a_AMP 00126617"/>
    <s v="Energy access through mini-grid connections"/>
    <x v="4"/>
    <s v="Hamshkoreb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udan national child project - Africa Minigrids Program (AMP)_x000a_AMP 00126618"/>
    <s v="Green jobs created/ Employment/Temporary jobs/Entrepreneurial Opportunities"/>
    <x v="2"/>
    <s v="Halaib"/>
    <n v="5"/>
    <n v="5"/>
    <n v="0"/>
    <n v="10"/>
    <n v="0"/>
    <n v="0"/>
    <n v="0"/>
    <n v="0"/>
    <n v="25"/>
    <n v="40"/>
    <n v="0"/>
    <n v="65"/>
    <n v="0"/>
    <n v="0"/>
    <n v="0"/>
    <n v="0"/>
  </r>
  <r>
    <x v="3"/>
    <s v="Sudan national child project - Africa Minigrids Program (AMP)_x000a_AMP 00126619"/>
    <s v="Green jobs created/ Employment/Temporary jobs/Entrepreneurial Opportunities"/>
    <x v="2"/>
    <s v="Gebeit - Elmaadin"/>
    <n v="5"/>
    <n v="5"/>
    <n v="0"/>
    <n v="10"/>
    <n v="0"/>
    <n v="0"/>
    <n v="0"/>
    <n v="0"/>
    <n v="25"/>
    <n v="40"/>
    <n v="0"/>
    <n v="65"/>
    <n v="0"/>
    <n v="0"/>
    <n v="0"/>
    <n v="0"/>
  </r>
  <r>
    <x v="3"/>
    <s v="Sudan national child project - Africa Minigrids Program (AMP)_x000a_AMP 00126620"/>
    <s v="Green jobs created/ Employment/Temporary jobs/Entrepreneurial Opportunities"/>
    <x v="4"/>
    <s v="Hamshkoreb"/>
    <n v="10"/>
    <n v="10"/>
    <n v="0"/>
    <n v="20"/>
    <n v="0"/>
    <n v="0"/>
    <n v="0"/>
    <n v="0"/>
    <n v="50"/>
    <n v="65"/>
    <n v="0"/>
    <n v="115"/>
    <n v="0"/>
    <n v="0"/>
    <n v="0"/>
    <n v="0"/>
  </r>
  <r>
    <x v="3"/>
    <s v="Sudan national child project - Africa Minigrids Program (AMP)_x000a_AMP 00126621"/>
    <s v="Solar Sisters"/>
    <x v="2"/>
    <s v="Halaib"/>
    <n v="20"/>
    <n v="0"/>
    <n v="0"/>
    <n v="20"/>
    <m/>
    <m/>
    <n v="0"/>
    <n v="0"/>
    <n v="100"/>
    <n v="0"/>
    <n v="0"/>
    <n v="100"/>
    <m/>
    <m/>
    <n v="0"/>
    <n v="0"/>
  </r>
  <r>
    <x v="3"/>
    <s v="Sudan national child project - Africa Minigrids Program (AMP)_x000a_AMP 00126622"/>
    <s v="Solar Sisters"/>
    <x v="2"/>
    <s v="Gebeit - Elmaadin"/>
    <n v="10"/>
    <n v="0"/>
    <n v="0"/>
    <n v="10"/>
    <m/>
    <m/>
    <n v="0"/>
    <n v="0"/>
    <n v="50"/>
    <n v="0"/>
    <n v="0"/>
    <n v="50"/>
    <m/>
    <m/>
    <n v="0"/>
    <n v="0"/>
  </r>
  <r>
    <x v="3"/>
    <s v="Sudan national child project - Africa Minigrids Program (AMP)_x000a_AMP 00126623"/>
    <s v="Solar Sisters"/>
    <x v="4"/>
    <s v="Hamshkoreb"/>
    <n v="10"/>
    <n v="0"/>
    <n v="0"/>
    <n v="10"/>
    <m/>
    <m/>
    <n v="0"/>
    <n v="0"/>
    <n v="50"/>
    <n v="0"/>
    <n v="0"/>
    <n v="50"/>
    <m/>
    <m/>
    <n v="0"/>
    <n v="0"/>
  </r>
  <r>
    <x v="3"/>
    <s v="Sudan national child project - Africa Minigrids Program (AMP)_x000a_AMP 00126624"/>
    <s v="Capacity building/vocational training/training"/>
    <x v="2"/>
    <s v="Halaib"/>
    <n v="40"/>
    <n v="96"/>
    <n v="0"/>
    <n v="136"/>
    <m/>
    <m/>
    <n v="0"/>
    <n v="0"/>
    <n v="200"/>
    <m/>
    <n v="0"/>
    <n v="200"/>
    <m/>
    <m/>
    <n v="0"/>
    <n v="0"/>
  </r>
  <r>
    <x v="3"/>
    <s v="Sudan national child project - Africa Minigrids Program (AMP)_x000a_AMP 00126625"/>
    <s v="Capacity building/vocational training/training"/>
    <x v="2"/>
    <s v="Gebeit - Elmaadin"/>
    <n v="25"/>
    <n v="74"/>
    <n v="0"/>
    <n v="99"/>
    <m/>
    <m/>
    <n v="0"/>
    <n v="0"/>
    <n v="125"/>
    <m/>
    <n v="0"/>
    <n v="125"/>
    <m/>
    <m/>
    <n v="0"/>
    <n v="0"/>
  </r>
  <r>
    <x v="3"/>
    <s v="Sudan national child project - Africa Minigrids Program (AMP)_x000a_AMP 00126626"/>
    <s v="Capacity building/vocational training/training"/>
    <x v="4"/>
    <s v="Hamshkoreb"/>
    <n v="40"/>
    <n v="102"/>
    <n v="0"/>
    <n v="142"/>
    <m/>
    <m/>
    <n v="0"/>
    <n v="0"/>
    <n v="200"/>
    <m/>
    <n v="0"/>
    <n v="200"/>
    <m/>
    <m/>
    <n v="0"/>
    <n v="0"/>
  </r>
  <r>
    <x v="3"/>
    <s v="Sudan national child project - Africa Minigrids Program (AMP)_x000a_AMP 00126627"/>
    <s v="Capacity building/vocational training/training"/>
    <x v="22"/>
    <s v="Port Sudan/ Khartoum"/>
    <n v="60"/>
    <n v="118"/>
    <n v="0"/>
    <n v="178"/>
    <n v="18"/>
    <n v="22"/>
    <n v="0"/>
    <n v="40"/>
    <n v="300"/>
    <m/>
    <n v="0"/>
    <n v="300"/>
    <m/>
    <m/>
    <n v="0"/>
    <n v="0"/>
  </r>
  <r>
    <x v="3"/>
    <s v="CBIT 00126516"/>
    <s v="Capacity building/vocational training/training"/>
    <x v="8"/>
    <s v="Khartoum"/>
    <n v="180"/>
    <n v="320"/>
    <n v="0"/>
    <n v="500"/>
    <n v="23"/>
    <n v="35"/>
    <n v="0"/>
    <n v="58"/>
    <n v="540"/>
    <n v="960"/>
    <n v="0"/>
    <n v="1500"/>
    <m/>
    <m/>
    <m/>
    <m/>
  </r>
  <r>
    <x v="3"/>
    <s v="Sudan-Scaling Solar Applications for Agricultural Use (SSAAU) - ISA 01000518"/>
    <s v="Capacity building/vocational training/training"/>
    <x v="0"/>
    <s v="Aldamer"/>
    <n v="20"/>
    <n v="20"/>
    <n v="0"/>
    <n v="40"/>
    <m/>
    <m/>
    <n v="0"/>
    <n v="0"/>
    <n v="60"/>
    <n v="80"/>
    <n v="0"/>
    <n v="140"/>
    <m/>
    <m/>
    <n v="0"/>
    <m/>
  </r>
  <r>
    <x v="3"/>
    <s v="Sudan-Scaling Solar Applications for Agricultural Use (SSAAU) - ISA 01000519"/>
    <s v="Capacity building/vocational training/training"/>
    <x v="0"/>
    <s v="Almatama"/>
    <n v="20"/>
    <n v="20"/>
    <n v="0"/>
    <n v="40"/>
    <m/>
    <m/>
    <n v="0"/>
    <n v="0"/>
    <n v="40"/>
    <n v="100"/>
    <n v="0"/>
    <n v="140"/>
    <m/>
    <m/>
    <n v="0"/>
    <m/>
  </r>
  <r>
    <x v="3"/>
    <s v="Sudan-Scaling Solar Applications for Agricultural Use (SSAAU) - ISA 01000520"/>
    <s v="Capacity building/vocational training/training"/>
    <x v="0"/>
    <s v="Atbra"/>
    <n v="10"/>
    <n v="16"/>
    <n v="0"/>
    <n v="26"/>
    <m/>
    <m/>
    <n v="0"/>
    <n v="0"/>
    <n v="50"/>
    <n v="185"/>
    <n v="0"/>
    <n v="235"/>
    <m/>
    <m/>
    <n v="0"/>
    <m/>
  </r>
  <r>
    <x v="3"/>
    <s v="Supporting NDCs Stocktaking and NDCs Revision Roadmap for Sudan"/>
    <s v="Capacity building/vocational training/training"/>
    <x v="8"/>
    <s v="Khartoum"/>
    <n v="40"/>
    <n v="60"/>
    <n v="0"/>
    <n v="100"/>
    <m/>
    <m/>
    <n v="0"/>
    <m/>
    <n v="120"/>
    <n v="160"/>
    <n v="0"/>
    <n v="280"/>
    <m/>
    <m/>
    <n v="0"/>
    <m/>
  </r>
  <r>
    <x v="3"/>
    <s v="Promotion of Solar Tuk Tuk for Public Transportation for Rural in Gedaref State _x000a_01004841"/>
    <s v="Capacity building/vocational training/training"/>
    <x v="21"/>
    <s v="Gedarif"/>
    <n v="45"/>
    <n v="45"/>
    <n v="0"/>
    <n v="90"/>
    <m/>
    <m/>
    <n v="0"/>
    <m/>
    <n v="125"/>
    <n v="162"/>
    <n v="0"/>
    <n v="287"/>
    <m/>
    <m/>
    <n v="0"/>
    <m/>
  </r>
  <r>
    <x v="3"/>
    <s v="Promotion of Solar Tuk Tuk for Public Transportation for Rural in Gedaref State _x000a_01004842"/>
    <s v="Renewable Energy Solutions"/>
    <x v="21"/>
    <s v="Gedarif"/>
    <n v="18"/>
    <n v="13"/>
    <n v="0"/>
    <n v="31"/>
    <m/>
    <m/>
    <n v="0"/>
    <m/>
    <m/>
    <m/>
    <n v="0"/>
    <n v="0"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E02B0-E705-4A07-9BEF-382C919D61A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21"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axis="axisRow" showAll="0">
      <items count="24">
        <item x="18"/>
        <item x="9"/>
        <item x="7"/>
        <item x="13"/>
        <item x="14"/>
        <item x="3"/>
        <item x="21"/>
        <item x="20"/>
        <item x="4"/>
        <item x="8"/>
        <item x="17"/>
        <item x="10"/>
        <item x="1"/>
        <item x="2"/>
        <item x="22"/>
        <item x="0"/>
        <item x="6"/>
        <item x="12"/>
        <item x="11"/>
        <item x="16"/>
        <item x="15"/>
        <item x="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7">
    <i>
      <x v="1"/>
    </i>
    <i>
      <x v="2"/>
    </i>
    <i>
      <x v="3"/>
    </i>
    <i>
      <x v="4"/>
    </i>
    <i>
      <x v="5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 of Direct Actual Sep 2026 Total" fld="12" baseField="0" baseItem="0"/>
    <dataField name="Sum of Indirect Actual Sep 2026 Tota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0AF1-6E84-40C3-818F-52ACADD11FA6}">
  <dimension ref="A1:C20"/>
  <sheetViews>
    <sheetView workbookViewId="0">
      <selection activeCell="B4" sqref="B4"/>
    </sheetView>
  </sheetViews>
  <sheetFormatPr defaultRowHeight="14.4" x14ac:dyDescent="0.3"/>
  <cols>
    <col min="1" max="1" width="13.88671875" bestFit="1" customWidth="1"/>
    <col min="2" max="2" width="31.33203125" bestFit="1" customWidth="1"/>
    <col min="3" max="3" width="32.88671875" bestFit="1" customWidth="1"/>
  </cols>
  <sheetData>
    <row r="1" spans="1:3" x14ac:dyDescent="0.3">
      <c r="A1" s="2" t="s">
        <v>29</v>
      </c>
      <c r="B1" t="s">
        <v>30</v>
      </c>
    </row>
    <row r="3" spans="1:3" x14ac:dyDescent="0.3">
      <c r="A3" s="2" t="s">
        <v>252</v>
      </c>
      <c r="B3" t="s">
        <v>254</v>
      </c>
      <c r="C3" t="s">
        <v>255</v>
      </c>
    </row>
    <row r="4" spans="1:3" x14ac:dyDescent="0.3">
      <c r="A4" s="3" t="s">
        <v>36</v>
      </c>
      <c r="B4" s="4">
        <v>20373</v>
      </c>
      <c r="C4" s="4">
        <v>85148</v>
      </c>
    </row>
    <row r="5" spans="1:3" x14ac:dyDescent="0.3">
      <c r="A5" s="3" t="s">
        <v>98</v>
      </c>
      <c r="B5" s="4">
        <v>17327</v>
      </c>
      <c r="C5" s="4">
        <v>70158</v>
      </c>
    </row>
    <row r="6" spans="1:3" x14ac:dyDescent="0.3">
      <c r="A6" s="3" t="s">
        <v>102</v>
      </c>
      <c r="B6" s="4">
        <v>377</v>
      </c>
      <c r="C6" s="4">
        <v>1556</v>
      </c>
    </row>
    <row r="7" spans="1:3" x14ac:dyDescent="0.3">
      <c r="A7" s="3" t="s">
        <v>103</v>
      </c>
      <c r="B7" s="4">
        <v>119</v>
      </c>
      <c r="C7" s="4">
        <v>952</v>
      </c>
    </row>
    <row r="8" spans="1:3" x14ac:dyDescent="0.3">
      <c r="A8" s="3" t="s">
        <v>42</v>
      </c>
      <c r="B8" s="4">
        <v>1264714</v>
      </c>
      <c r="C8" s="4">
        <v>520148</v>
      </c>
    </row>
    <row r="9" spans="1:3" x14ac:dyDescent="0.3">
      <c r="A9" s="3" t="s">
        <v>47</v>
      </c>
      <c r="B9" s="4">
        <v>1321540</v>
      </c>
      <c r="C9" s="4">
        <v>2041652</v>
      </c>
    </row>
    <row r="10" spans="1:3" x14ac:dyDescent="0.3">
      <c r="A10" s="3" t="s">
        <v>18</v>
      </c>
      <c r="B10" s="4">
        <v>61334</v>
      </c>
      <c r="C10" s="4">
        <v>71130</v>
      </c>
    </row>
    <row r="11" spans="1:3" x14ac:dyDescent="0.3">
      <c r="A11" s="3" t="s">
        <v>99</v>
      </c>
      <c r="B11" s="4">
        <v>13238</v>
      </c>
      <c r="C11" s="4">
        <v>54518</v>
      </c>
    </row>
    <row r="12" spans="1:3" x14ac:dyDescent="0.3">
      <c r="A12" s="3" t="s">
        <v>97</v>
      </c>
      <c r="B12" s="4">
        <v>632630</v>
      </c>
      <c r="C12" s="4">
        <v>968653</v>
      </c>
    </row>
    <row r="13" spans="1:3" x14ac:dyDescent="0.3">
      <c r="A13" s="3" t="s">
        <v>74</v>
      </c>
      <c r="B13" s="4">
        <v>12364</v>
      </c>
      <c r="C13" s="4">
        <v>51716</v>
      </c>
    </row>
    <row r="14" spans="1:3" x14ac:dyDescent="0.3">
      <c r="A14" s="3" t="s">
        <v>62</v>
      </c>
      <c r="B14" s="4">
        <v>8741</v>
      </c>
      <c r="C14" s="4">
        <v>38486</v>
      </c>
    </row>
    <row r="15" spans="1:3" x14ac:dyDescent="0.3">
      <c r="A15" s="3" t="s">
        <v>93</v>
      </c>
      <c r="B15" s="4">
        <v>5210</v>
      </c>
      <c r="C15" s="4">
        <v>21936</v>
      </c>
    </row>
    <row r="16" spans="1:3" x14ac:dyDescent="0.3">
      <c r="A16" s="3" t="s">
        <v>101</v>
      </c>
      <c r="B16" s="4">
        <v>2204</v>
      </c>
      <c r="C16" s="4">
        <v>9260</v>
      </c>
    </row>
    <row r="17" spans="1:3" x14ac:dyDescent="0.3">
      <c r="A17" s="3" t="s">
        <v>100</v>
      </c>
      <c r="B17" s="4">
        <v>241</v>
      </c>
      <c r="C17" s="4">
        <v>1084</v>
      </c>
    </row>
    <row r="18" spans="1:3" x14ac:dyDescent="0.3">
      <c r="A18" s="3" t="s">
        <v>105</v>
      </c>
      <c r="B18" s="4">
        <v>0</v>
      </c>
      <c r="C18" s="4">
        <v>0</v>
      </c>
    </row>
    <row r="19" spans="1:3" x14ac:dyDescent="0.3">
      <c r="A19" s="3" t="s">
        <v>69</v>
      </c>
      <c r="B19" s="4">
        <v>1413509</v>
      </c>
      <c r="C19" s="4">
        <v>62440</v>
      </c>
    </row>
    <row r="20" spans="1:3" x14ac:dyDescent="0.3">
      <c r="A20" s="3" t="s">
        <v>253</v>
      </c>
      <c r="B20" s="4">
        <v>4773921</v>
      </c>
      <c r="C20" s="4">
        <v>3998837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4"/>
  <sheetViews>
    <sheetView tabSelected="1" topLeftCell="H11" zoomScale="85" zoomScaleNormal="85" workbookViewId="0">
      <selection activeCell="U37" sqref="U37"/>
    </sheetView>
  </sheetViews>
  <sheetFormatPr defaultRowHeight="14.4" x14ac:dyDescent="0.3"/>
  <cols>
    <col min="1" max="1" width="31.21875" bestFit="1" customWidth="1"/>
    <col min="2" max="2" width="95.6640625" bestFit="1" customWidth="1"/>
    <col min="3" max="3" width="84.33203125" bestFit="1" customWidth="1"/>
    <col min="4" max="4" width="14.44140625" bestFit="1" customWidth="1"/>
    <col min="5" max="5" width="20" bestFit="1" customWidth="1"/>
    <col min="6" max="6" width="16.88671875" bestFit="1" customWidth="1"/>
    <col min="7" max="7" width="14.88671875" bestFit="1" customWidth="1"/>
    <col min="8" max="8" width="14.88671875" customWidth="1"/>
    <col min="9" max="9" width="15.44140625" bestFit="1" customWidth="1"/>
    <col min="10" max="10" width="13.33203125" bestFit="1" customWidth="1"/>
    <col min="11" max="11" width="17.21875" bestFit="1" customWidth="1"/>
    <col min="12" max="12" width="17.21875" customWidth="1"/>
    <col min="13" max="13" width="15" bestFit="1" customWidth="1"/>
    <col min="14" max="14" width="18.44140625" bestFit="1" customWidth="1"/>
    <col min="15" max="15" width="16.33203125" bestFit="1" customWidth="1"/>
    <col min="16" max="16" width="16.33203125" customWidth="1"/>
    <col min="17" max="17" width="18.44140625" bestFit="1" customWidth="1"/>
    <col min="18" max="18" width="16.77734375" bestFit="1" customWidth="1"/>
    <col min="19" max="19" width="17.44140625" bestFit="1" customWidth="1"/>
    <col min="20" max="20" width="17.44140625" customWidth="1"/>
    <col min="21" max="21" width="22.33203125" bestFit="1" customWidth="1"/>
    <col min="22" max="22" width="24.44140625" bestFit="1" customWidth="1"/>
    <col min="23" max="23" width="22.33203125" bestFit="1" customWidth="1"/>
    <col min="24" max="24" width="23" bestFit="1" customWidth="1"/>
    <col min="25" max="25" width="5.6640625" bestFit="1" customWidth="1"/>
  </cols>
  <sheetData>
    <row r="1" spans="1:21" x14ac:dyDescent="0.3">
      <c r="A1" t="s">
        <v>29</v>
      </c>
      <c r="B1" t="s">
        <v>31</v>
      </c>
      <c r="C1" t="s">
        <v>32</v>
      </c>
      <c r="D1" t="s">
        <v>33</v>
      </c>
      <c r="E1" t="s">
        <v>0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</row>
    <row r="2" spans="1:21" x14ac:dyDescent="0.3">
      <c r="A2" t="s">
        <v>30</v>
      </c>
      <c r="B2" t="s">
        <v>95</v>
      </c>
      <c r="C2" t="s">
        <v>96</v>
      </c>
      <c r="D2" t="s">
        <v>62</v>
      </c>
      <c r="E2" t="s">
        <v>10</v>
      </c>
      <c r="F2">
        <v>1229.4000000000001</v>
      </c>
      <c r="G2">
        <v>1502.6</v>
      </c>
      <c r="I2">
        <v>2732</v>
      </c>
      <c r="J2">
        <v>1654</v>
      </c>
      <c r="K2">
        <v>2021</v>
      </c>
      <c r="M2">
        <v>3675</v>
      </c>
      <c r="N2">
        <v>7376.4000000000005</v>
      </c>
      <c r="O2">
        <v>9015.6</v>
      </c>
      <c r="Q2">
        <v>16392</v>
      </c>
      <c r="R2">
        <v>8200</v>
      </c>
      <c r="S2">
        <v>10022</v>
      </c>
      <c r="U2">
        <v>18222</v>
      </c>
    </row>
    <row r="3" spans="1:21" x14ac:dyDescent="0.3">
      <c r="A3" t="s">
        <v>30</v>
      </c>
      <c r="B3" t="s">
        <v>95</v>
      </c>
      <c r="C3" t="s">
        <v>96</v>
      </c>
      <c r="D3" t="s">
        <v>97</v>
      </c>
      <c r="E3" t="s">
        <v>11</v>
      </c>
      <c r="F3">
        <v>313.64999999999998</v>
      </c>
      <c r="G3">
        <v>383.35</v>
      </c>
      <c r="I3">
        <v>697</v>
      </c>
      <c r="J3">
        <v>613</v>
      </c>
      <c r="K3">
        <v>750</v>
      </c>
      <c r="M3">
        <v>1363</v>
      </c>
      <c r="N3">
        <v>1881.9</v>
      </c>
      <c r="O3">
        <v>2300.1000000000004</v>
      </c>
      <c r="Q3">
        <v>4182</v>
      </c>
      <c r="R3">
        <v>2976</v>
      </c>
      <c r="S3">
        <v>3638</v>
      </c>
      <c r="U3">
        <v>6614</v>
      </c>
    </row>
    <row r="4" spans="1:21" x14ac:dyDescent="0.3">
      <c r="A4" t="s">
        <v>30</v>
      </c>
      <c r="B4" t="s">
        <v>95</v>
      </c>
      <c r="C4" t="s">
        <v>96</v>
      </c>
      <c r="D4" t="s">
        <v>74</v>
      </c>
      <c r="E4" t="s">
        <v>12</v>
      </c>
      <c r="F4">
        <v>1344.15</v>
      </c>
      <c r="G4">
        <v>1642.85</v>
      </c>
      <c r="I4">
        <v>2987</v>
      </c>
      <c r="J4">
        <v>1127</v>
      </c>
      <c r="K4">
        <v>1378</v>
      </c>
      <c r="M4">
        <v>2505</v>
      </c>
      <c r="N4">
        <v>8064.9000000000005</v>
      </c>
      <c r="O4">
        <v>9857.1</v>
      </c>
      <c r="Q4">
        <v>17922</v>
      </c>
      <c r="R4">
        <v>5526</v>
      </c>
      <c r="S4">
        <v>6754</v>
      </c>
      <c r="U4">
        <v>12280</v>
      </c>
    </row>
    <row r="5" spans="1:21" x14ac:dyDescent="0.3">
      <c r="A5" t="s">
        <v>30</v>
      </c>
      <c r="B5" t="s">
        <v>95</v>
      </c>
      <c r="C5" t="s">
        <v>96</v>
      </c>
      <c r="D5" t="s">
        <v>42</v>
      </c>
      <c r="E5" t="s">
        <v>13</v>
      </c>
      <c r="F5">
        <v>2764.8</v>
      </c>
      <c r="G5">
        <v>3379.2</v>
      </c>
      <c r="I5">
        <v>6144</v>
      </c>
      <c r="J5">
        <v>1278</v>
      </c>
      <c r="K5">
        <v>1561</v>
      </c>
      <c r="M5">
        <v>2839</v>
      </c>
      <c r="N5">
        <v>16588.8</v>
      </c>
      <c r="O5">
        <v>20275.2</v>
      </c>
      <c r="Q5">
        <v>36864</v>
      </c>
      <c r="R5">
        <v>6176</v>
      </c>
      <c r="S5">
        <v>7548</v>
      </c>
      <c r="U5">
        <v>13724</v>
      </c>
    </row>
    <row r="6" spans="1:21" x14ac:dyDescent="0.3">
      <c r="A6" t="s">
        <v>30</v>
      </c>
      <c r="B6" t="s">
        <v>95</v>
      </c>
      <c r="C6" t="s">
        <v>96</v>
      </c>
      <c r="D6" t="s">
        <v>47</v>
      </c>
      <c r="E6" t="s">
        <v>14</v>
      </c>
      <c r="F6">
        <v>2094.3000000000002</v>
      </c>
      <c r="G6">
        <v>2559.6999999999998</v>
      </c>
      <c r="I6">
        <v>4654</v>
      </c>
      <c r="J6">
        <v>1321</v>
      </c>
      <c r="K6">
        <v>1615</v>
      </c>
      <c r="M6">
        <v>2936</v>
      </c>
      <c r="N6">
        <v>12565.800000000001</v>
      </c>
      <c r="O6">
        <v>15358.2</v>
      </c>
      <c r="Q6">
        <v>27924</v>
      </c>
      <c r="R6">
        <v>6526</v>
      </c>
      <c r="S6">
        <v>7976</v>
      </c>
      <c r="U6">
        <v>14502</v>
      </c>
    </row>
    <row r="7" spans="1:21" x14ac:dyDescent="0.3">
      <c r="A7" t="s">
        <v>30</v>
      </c>
      <c r="B7" t="s">
        <v>95</v>
      </c>
      <c r="C7" t="s">
        <v>96</v>
      </c>
      <c r="D7" t="s">
        <v>69</v>
      </c>
      <c r="E7" t="s">
        <v>15</v>
      </c>
      <c r="F7">
        <v>1854.9</v>
      </c>
      <c r="G7">
        <v>2267.1</v>
      </c>
      <c r="I7">
        <v>4122</v>
      </c>
      <c r="J7">
        <v>1468</v>
      </c>
      <c r="K7">
        <v>1794</v>
      </c>
      <c r="M7">
        <v>3262</v>
      </c>
      <c r="N7">
        <v>12344.4</v>
      </c>
      <c r="O7">
        <v>13602.6</v>
      </c>
      <c r="Q7">
        <v>25947</v>
      </c>
      <c r="R7">
        <v>7148</v>
      </c>
      <c r="S7">
        <v>8736</v>
      </c>
      <c r="U7">
        <v>15884</v>
      </c>
    </row>
    <row r="8" spans="1:21" x14ac:dyDescent="0.3">
      <c r="A8" t="s">
        <v>30</v>
      </c>
      <c r="B8" t="s">
        <v>95</v>
      </c>
      <c r="C8" t="s">
        <v>96</v>
      </c>
      <c r="D8" t="s">
        <v>93</v>
      </c>
      <c r="E8" t="s">
        <v>16</v>
      </c>
      <c r="F8">
        <v>1090.8</v>
      </c>
      <c r="G8">
        <v>1333.2</v>
      </c>
      <c r="I8">
        <v>2424</v>
      </c>
      <c r="J8">
        <v>595</v>
      </c>
      <c r="K8">
        <v>728</v>
      </c>
      <c r="M8">
        <v>1323</v>
      </c>
      <c r="N8">
        <v>6544.8</v>
      </c>
      <c r="O8">
        <v>7999.2000000000007</v>
      </c>
      <c r="Q8">
        <v>14544</v>
      </c>
      <c r="R8">
        <v>2875</v>
      </c>
      <c r="S8">
        <v>3513</v>
      </c>
      <c r="U8">
        <v>6388</v>
      </c>
    </row>
    <row r="9" spans="1:21" x14ac:dyDescent="0.3">
      <c r="A9" t="s">
        <v>30</v>
      </c>
      <c r="B9" t="s">
        <v>95</v>
      </c>
      <c r="C9" t="s">
        <v>96</v>
      </c>
      <c r="D9" t="s">
        <v>98</v>
      </c>
      <c r="E9" t="s">
        <v>17</v>
      </c>
      <c r="F9">
        <v>649.79999999999995</v>
      </c>
      <c r="G9">
        <v>794.2</v>
      </c>
      <c r="I9">
        <v>1444</v>
      </c>
      <c r="J9">
        <v>404</v>
      </c>
      <c r="K9">
        <v>494</v>
      </c>
      <c r="M9">
        <v>898</v>
      </c>
      <c r="N9">
        <v>3898.8</v>
      </c>
      <c r="O9">
        <v>4765.2000000000007</v>
      </c>
      <c r="Q9">
        <v>8664</v>
      </c>
      <c r="R9">
        <v>1999</v>
      </c>
      <c r="S9">
        <v>2443</v>
      </c>
      <c r="U9">
        <v>4442</v>
      </c>
    </row>
    <row r="10" spans="1:21" x14ac:dyDescent="0.3">
      <c r="A10" t="s">
        <v>30</v>
      </c>
      <c r="B10" t="s">
        <v>95</v>
      </c>
      <c r="C10" t="s">
        <v>96</v>
      </c>
      <c r="D10" t="s">
        <v>18</v>
      </c>
      <c r="E10" t="s">
        <v>18</v>
      </c>
      <c r="F10">
        <v>3050.1</v>
      </c>
      <c r="G10">
        <v>3727.9</v>
      </c>
      <c r="I10">
        <v>6778</v>
      </c>
      <c r="J10">
        <v>3069</v>
      </c>
      <c r="K10">
        <v>3752</v>
      </c>
      <c r="M10">
        <v>6821</v>
      </c>
      <c r="N10">
        <v>18300.600000000002</v>
      </c>
      <c r="O10">
        <v>22367.4</v>
      </c>
      <c r="Q10">
        <v>40668</v>
      </c>
      <c r="R10">
        <v>14885</v>
      </c>
      <c r="S10">
        <v>18193</v>
      </c>
      <c r="U10">
        <v>33078</v>
      </c>
    </row>
    <row r="11" spans="1:21" x14ac:dyDescent="0.3">
      <c r="A11" t="s">
        <v>30</v>
      </c>
      <c r="B11" t="s">
        <v>95</v>
      </c>
      <c r="C11" t="s">
        <v>96</v>
      </c>
      <c r="D11" t="s">
        <v>36</v>
      </c>
      <c r="E11" t="s">
        <v>19</v>
      </c>
      <c r="F11">
        <v>5225.8500000000004</v>
      </c>
      <c r="G11">
        <v>6387.15</v>
      </c>
      <c r="I11">
        <v>11613</v>
      </c>
      <c r="J11">
        <v>1805</v>
      </c>
      <c r="K11">
        <v>2207</v>
      </c>
      <c r="M11">
        <v>4012</v>
      </c>
      <c r="N11">
        <v>31355.100000000002</v>
      </c>
      <c r="O11">
        <v>38322.9</v>
      </c>
      <c r="Q11">
        <v>69678</v>
      </c>
      <c r="R11">
        <v>8867</v>
      </c>
      <c r="S11">
        <v>10837</v>
      </c>
      <c r="U11">
        <v>19704</v>
      </c>
    </row>
    <row r="12" spans="1:21" x14ac:dyDescent="0.3">
      <c r="A12" t="s">
        <v>30</v>
      </c>
      <c r="B12" t="s">
        <v>95</v>
      </c>
      <c r="C12" t="s">
        <v>96</v>
      </c>
      <c r="D12" t="s">
        <v>99</v>
      </c>
      <c r="E12" t="s">
        <v>20</v>
      </c>
      <c r="F12">
        <v>282.60000000000002</v>
      </c>
      <c r="G12">
        <v>345.4</v>
      </c>
      <c r="I12">
        <v>628</v>
      </c>
      <c r="J12">
        <v>758</v>
      </c>
      <c r="K12">
        <v>926</v>
      </c>
      <c r="M12">
        <v>1684</v>
      </c>
      <c r="N12">
        <v>1695.6000000000001</v>
      </c>
      <c r="O12">
        <v>2072.4</v>
      </c>
      <c r="Q12">
        <v>3768</v>
      </c>
      <c r="R12">
        <v>3736</v>
      </c>
      <c r="S12">
        <v>4566</v>
      </c>
      <c r="U12">
        <v>8302</v>
      </c>
    </row>
    <row r="13" spans="1:21" x14ac:dyDescent="0.3">
      <c r="A13" t="s">
        <v>30</v>
      </c>
      <c r="B13" t="s">
        <v>95</v>
      </c>
      <c r="C13" t="s">
        <v>96</v>
      </c>
      <c r="D13" t="s">
        <v>100</v>
      </c>
      <c r="E13" t="s">
        <v>21</v>
      </c>
      <c r="F13">
        <v>22.95</v>
      </c>
      <c r="G13">
        <v>28.05</v>
      </c>
      <c r="I13">
        <v>51</v>
      </c>
      <c r="J13">
        <v>55</v>
      </c>
      <c r="K13">
        <v>68</v>
      </c>
      <c r="M13">
        <v>123</v>
      </c>
      <c r="N13">
        <v>137.70000000000002</v>
      </c>
      <c r="O13">
        <v>168.3</v>
      </c>
      <c r="Q13">
        <v>306</v>
      </c>
      <c r="R13">
        <v>275</v>
      </c>
      <c r="S13">
        <v>337</v>
      </c>
      <c r="U13">
        <v>612</v>
      </c>
    </row>
    <row r="14" spans="1:21" x14ac:dyDescent="0.3">
      <c r="A14" t="s">
        <v>30</v>
      </c>
      <c r="B14" t="s">
        <v>95</v>
      </c>
      <c r="C14" t="s">
        <v>96</v>
      </c>
      <c r="D14" t="s">
        <v>101</v>
      </c>
      <c r="E14" t="s">
        <v>22</v>
      </c>
      <c r="F14">
        <v>181.8</v>
      </c>
      <c r="G14">
        <v>222.2</v>
      </c>
      <c r="I14">
        <v>404</v>
      </c>
      <c r="J14">
        <v>208</v>
      </c>
      <c r="K14">
        <v>255</v>
      </c>
      <c r="M14">
        <v>463</v>
      </c>
      <c r="N14">
        <v>1090.8</v>
      </c>
      <c r="O14">
        <v>1333.2</v>
      </c>
      <c r="Q14">
        <v>2424</v>
      </c>
      <c r="R14">
        <v>1033</v>
      </c>
      <c r="S14">
        <v>1263</v>
      </c>
      <c r="U14">
        <v>2296</v>
      </c>
    </row>
    <row r="15" spans="1:21" x14ac:dyDescent="0.3">
      <c r="A15" t="s">
        <v>30</v>
      </c>
      <c r="B15" t="s">
        <v>95</v>
      </c>
      <c r="C15" t="s">
        <v>96</v>
      </c>
      <c r="D15" t="s">
        <v>102</v>
      </c>
      <c r="E15" t="s">
        <v>23</v>
      </c>
      <c r="F15">
        <v>37.35</v>
      </c>
      <c r="G15">
        <v>45.65</v>
      </c>
      <c r="I15">
        <v>83</v>
      </c>
      <c r="J15">
        <v>29</v>
      </c>
      <c r="K15">
        <v>36</v>
      </c>
      <c r="M15">
        <v>65</v>
      </c>
      <c r="N15">
        <v>224.1</v>
      </c>
      <c r="O15">
        <v>273.90000000000003</v>
      </c>
      <c r="Q15">
        <v>498</v>
      </c>
      <c r="R15">
        <v>139</v>
      </c>
      <c r="S15">
        <v>169</v>
      </c>
      <c r="U15">
        <v>308</v>
      </c>
    </row>
    <row r="16" spans="1:21" x14ac:dyDescent="0.3">
      <c r="A16" t="s">
        <v>30</v>
      </c>
      <c r="B16" t="s">
        <v>95</v>
      </c>
      <c r="C16" t="s">
        <v>96</v>
      </c>
      <c r="D16" t="s">
        <v>103</v>
      </c>
      <c r="E16" t="s">
        <v>24</v>
      </c>
      <c r="F16">
        <v>74.7</v>
      </c>
      <c r="G16">
        <v>91.3</v>
      </c>
      <c r="I16">
        <v>166</v>
      </c>
      <c r="J16" t="s">
        <v>25</v>
      </c>
      <c r="K16" t="s">
        <v>25</v>
      </c>
      <c r="M16" t="s">
        <v>25</v>
      </c>
      <c r="N16">
        <v>448.2</v>
      </c>
      <c r="O16">
        <v>547.80000000000007</v>
      </c>
      <c r="Q16">
        <v>996</v>
      </c>
      <c r="R16" t="s">
        <v>25</v>
      </c>
      <c r="S16" t="s">
        <v>25</v>
      </c>
      <c r="U16" t="s">
        <v>25</v>
      </c>
    </row>
    <row r="17" spans="1:21" x14ac:dyDescent="0.3">
      <c r="A17" t="s">
        <v>30</v>
      </c>
      <c r="B17" t="s">
        <v>95</v>
      </c>
      <c r="C17" t="s">
        <v>104</v>
      </c>
      <c r="D17" t="s">
        <v>62</v>
      </c>
      <c r="E17" t="s">
        <v>10</v>
      </c>
      <c r="F17">
        <v>6778.2872249999991</v>
      </c>
      <c r="G17">
        <v>8284.5732749999988</v>
      </c>
      <c r="I17">
        <v>15062.860499999999</v>
      </c>
      <c r="J17">
        <v>2280</v>
      </c>
      <c r="K17">
        <v>2786</v>
      </c>
      <c r="M17">
        <v>5066</v>
      </c>
      <c r="N17">
        <v>40669.65</v>
      </c>
      <c r="O17">
        <v>49707.350000000006</v>
      </c>
      <c r="Q17">
        <v>90377</v>
      </c>
      <c r="R17">
        <v>9119</v>
      </c>
      <c r="S17">
        <v>11145</v>
      </c>
      <c r="U17">
        <v>20264</v>
      </c>
    </row>
    <row r="18" spans="1:21" x14ac:dyDescent="0.3">
      <c r="A18" t="s">
        <v>30</v>
      </c>
      <c r="B18" t="s">
        <v>95</v>
      </c>
      <c r="C18" t="s">
        <v>104</v>
      </c>
      <c r="D18" t="s">
        <v>97</v>
      </c>
      <c r="E18" t="s">
        <v>11</v>
      </c>
      <c r="F18">
        <v>8563.1231249999983</v>
      </c>
      <c r="G18">
        <v>10466.039374999998</v>
      </c>
      <c r="I18">
        <v>19029.162499999999</v>
      </c>
      <c r="J18">
        <v>2907</v>
      </c>
      <c r="K18">
        <v>3554</v>
      </c>
      <c r="M18">
        <v>6461</v>
      </c>
      <c r="N18">
        <v>51378.75</v>
      </c>
      <c r="O18">
        <v>62796.250000000007</v>
      </c>
      <c r="Q18">
        <v>114175</v>
      </c>
      <c r="R18">
        <v>11630</v>
      </c>
      <c r="S18">
        <v>14214</v>
      </c>
      <c r="U18">
        <v>25844</v>
      </c>
    </row>
    <row r="19" spans="1:21" x14ac:dyDescent="0.3">
      <c r="A19" t="s">
        <v>30</v>
      </c>
      <c r="B19" t="s">
        <v>95</v>
      </c>
      <c r="C19" t="s">
        <v>104</v>
      </c>
      <c r="D19" t="s">
        <v>74</v>
      </c>
      <c r="E19" t="s">
        <v>12</v>
      </c>
      <c r="F19">
        <v>11404.080900000001</v>
      </c>
      <c r="G19">
        <v>13938.321100000001</v>
      </c>
      <c r="I19">
        <v>25342.402000000002</v>
      </c>
      <c r="J19">
        <v>4437</v>
      </c>
      <c r="K19">
        <v>5422</v>
      </c>
      <c r="M19">
        <v>9859</v>
      </c>
      <c r="N19">
        <v>68424.3</v>
      </c>
      <c r="O19">
        <v>83629.700000000012</v>
      </c>
      <c r="Q19">
        <v>152054</v>
      </c>
      <c r="R19">
        <v>17746</v>
      </c>
      <c r="S19">
        <v>21690</v>
      </c>
      <c r="U19">
        <v>39436</v>
      </c>
    </row>
    <row r="20" spans="1:21" x14ac:dyDescent="0.3">
      <c r="A20" t="s">
        <v>30</v>
      </c>
      <c r="B20" t="s">
        <v>95</v>
      </c>
      <c r="C20" t="s">
        <v>104</v>
      </c>
      <c r="D20" t="s">
        <v>42</v>
      </c>
      <c r="E20" t="s">
        <v>13</v>
      </c>
      <c r="F20">
        <v>13961.389724999999</v>
      </c>
      <c r="G20">
        <v>17063.920774999999</v>
      </c>
      <c r="I20">
        <v>31025.3105</v>
      </c>
      <c r="J20">
        <v>3089</v>
      </c>
      <c r="K20">
        <v>3776</v>
      </c>
      <c r="M20">
        <v>6865</v>
      </c>
      <c r="N20">
        <v>83768.400000000009</v>
      </c>
      <c r="O20">
        <v>102383.6</v>
      </c>
      <c r="Q20">
        <v>186152</v>
      </c>
      <c r="R20">
        <v>12357</v>
      </c>
      <c r="S20">
        <v>15103</v>
      </c>
      <c r="U20">
        <v>27460</v>
      </c>
    </row>
    <row r="21" spans="1:21" x14ac:dyDescent="0.3">
      <c r="A21" t="s">
        <v>30</v>
      </c>
      <c r="B21" t="s">
        <v>95</v>
      </c>
      <c r="C21" t="s">
        <v>104</v>
      </c>
      <c r="D21" t="s">
        <v>47</v>
      </c>
      <c r="E21" t="s">
        <v>14</v>
      </c>
      <c r="F21">
        <v>15914.402549999999</v>
      </c>
      <c r="G21">
        <v>19450.936450000001</v>
      </c>
      <c r="I21">
        <v>35365.339</v>
      </c>
      <c r="J21">
        <v>8864</v>
      </c>
      <c r="K21">
        <v>10834</v>
      </c>
      <c r="M21">
        <v>19698</v>
      </c>
      <c r="N21">
        <v>95486.400000000009</v>
      </c>
      <c r="O21">
        <v>116705.60000000001</v>
      </c>
      <c r="Q21">
        <v>212192</v>
      </c>
      <c r="R21">
        <v>35456</v>
      </c>
      <c r="S21">
        <v>43336</v>
      </c>
      <c r="U21">
        <v>78792</v>
      </c>
    </row>
    <row r="22" spans="1:21" x14ac:dyDescent="0.3">
      <c r="A22" t="s">
        <v>30</v>
      </c>
      <c r="B22" t="s">
        <v>95</v>
      </c>
      <c r="C22" t="s">
        <v>104</v>
      </c>
      <c r="D22" t="s">
        <v>69</v>
      </c>
      <c r="E22" t="s">
        <v>15</v>
      </c>
      <c r="F22">
        <v>26245.87515</v>
      </c>
      <c r="G22">
        <v>32078.291850000001</v>
      </c>
      <c r="I22">
        <v>58324.167000000001</v>
      </c>
      <c r="J22">
        <v>5238</v>
      </c>
      <c r="K22">
        <v>6401</v>
      </c>
      <c r="M22">
        <v>11639</v>
      </c>
      <c r="N22">
        <v>157475.25</v>
      </c>
      <c r="O22">
        <v>192469.75000000003</v>
      </c>
      <c r="Q22">
        <v>349945</v>
      </c>
      <c r="R22">
        <v>20950</v>
      </c>
      <c r="S22">
        <v>25606</v>
      </c>
      <c r="U22">
        <v>46556</v>
      </c>
    </row>
    <row r="23" spans="1:21" x14ac:dyDescent="0.3">
      <c r="A23" t="s">
        <v>30</v>
      </c>
      <c r="B23" t="s">
        <v>95</v>
      </c>
      <c r="C23" t="s">
        <v>104</v>
      </c>
      <c r="D23" t="s">
        <v>93</v>
      </c>
      <c r="E23" t="s">
        <v>16</v>
      </c>
      <c r="F23">
        <v>6578.2644749999999</v>
      </c>
      <c r="G23">
        <v>8040.1010249999999</v>
      </c>
      <c r="I23">
        <v>14618.3655</v>
      </c>
      <c r="J23">
        <v>1749</v>
      </c>
      <c r="K23">
        <v>2138</v>
      </c>
      <c r="M23">
        <v>3887</v>
      </c>
      <c r="N23">
        <v>39469.5</v>
      </c>
      <c r="O23">
        <v>48240.500000000007</v>
      </c>
      <c r="Q23">
        <v>87710</v>
      </c>
      <c r="R23">
        <v>6997</v>
      </c>
      <c r="S23">
        <v>8551</v>
      </c>
      <c r="U23">
        <v>15548</v>
      </c>
    </row>
    <row r="24" spans="1:21" x14ac:dyDescent="0.3">
      <c r="A24" t="s">
        <v>30</v>
      </c>
      <c r="B24" t="s">
        <v>95</v>
      </c>
      <c r="C24" t="s">
        <v>104</v>
      </c>
      <c r="D24" t="s">
        <v>98</v>
      </c>
      <c r="E24" t="s">
        <v>17</v>
      </c>
      <c r="F24">
        <v>9801.81675</v>
      </c>
      <c r="G24">
        <v>11979.998249999999</v>
      </c>
      <c r="I24">
        <v>21781.814999999999</v>
      </c>
      <c r="J24">
        <v>7393</v>
      </c>
      <c r="K24">
        <v>9036</v>
      </c>
      <c r="M24">
        <v>16429</v>
      </c>
      <c r="N24">
        <v>58810.950000000004</v>
      </c>
      <c r="O24">
        <v>71880.05</v>
      </c>
      <c r="Q24">
        <v>130691</v>
      </c>
      <c r="R24">
        <v>29572</v>
      </c>
      <c r="S24">
        <v>36144</v>
      </c>
      <c r="U24">
        <v>65716</v>
      </c>
    </row>
    <row r="25" spans="1:21" x14ac:dyDescent="0.3">
      <c r="A25" t="s">
        <v>30</v>
      </c>
      <c r="B25" t="s">
        <v>95</v>
      </c>
      <c r="C25" t="s">
        <v>104</v>
      </c>
      <c r="D25" t="s">
        <v>18</v>
      </c>
      <c r="E25" t="s">
        <v>18</v>
      </c>
      <c r="F25">
        <v>13272.370199999999</v>
      </c>
      <c r="G25">
        <v>16221.785799999998</v>
      </c>
      <c r="I25">
        <v>29494.155999999995</v>
      </c>
      <c r="J25">
        <v>4281</v>
      </c>
      <c r="K25">
        <v>5232</v>
      </c>
      <c r="M25">
        <v>9513</v>
      </c>
      <c r="N25">
        <v>79634.25</v>
      </c>
      <c r="O25">
        <v>97330.750000000015</v>
      </c>
      <c r="Q25">
        <v>176965</v>
      </c>
      <c r="R25">
        <v>17123</v>
      </c>
      <c r="S25">
        <v>20929</v>
      </c>
      <c r="U25">
        <v>38052</v>
      </c>
    </row>
    <row r="26" spans="1:21" x14ac:dyDescent="0.3">
      <c r="A26" t="s">
        <v>30</v>
      </c>
      <c r="B26" t="s">
        <v>95</v>
      </c>
      <c r="C26" t="s">
        <v>104</v>
      </c>
      <c r="D26" t="s">
        <v>36</v>
      </c>
      <c r="E26" t="s">
        <v>19</v>
      </c>
      <c r="F26">
        <v>13516.614225000001</v>
      </c>
      <c r="G26">
        <v>16520.306274999999</v>
      </c>
      <c r="I26">
        <v>30036.9205</v>
      </c>
      <c r="J26">
        <v>7362</v>
      </c>
      <c r="K26">
        <v>8999</v>
      </c>
      <c r="M26">
        <v>16361</v>
      </c>
      <c r="N26">
        <v>81099.900000000009</v>
      </c>
      <c r="O26">
        <v>99122.1</v>
      </c>
      <c r="Q26">
        <v>180222</v>
      </c>
      <c r="R26">
        <v>29450</v>
      </c>
      <c r="S26">
        <v>35994</v>
      </c>
      <c r="U26">
        <v>65444</v>
      </c>
    </row>
    <row r="27" spans="1:21" x14ac:dyDescent="0.3">
      <c r="A27" t="s">
        <v>30</v>
      </c>
      <c r="B27" t="s">
        <v>95</v>
      </c>
      <c r="C27" t="s">
        <v>104</v>
      </c>
      <c r="D27" t="s">
        <v>99</v>
      </c>
      <c r="E27" t="s">
        <v>20</v>
      </c>
      <c r="F27">
        <v>2797.65</v>
      </c>
      <c r="G27">
        <v>3419.35</v>
      </c>
      <c r="I27">
        <v>6217</v>
      </c>
      <c r="J27">
        <v>5199</v>
      </c>
      <c r="K27">
        <v>6355</v>
      </c>
      <c r="M27">
        <v>11554</v>
      </c>
      <c r="N27">
        <v>16785.900000000001</v>
      </c>
      <c r="O27">
        <v>20516.100000000002</v>
      </c>
      <c r="Q27">
        <v>37302</v>
      </c>
      <c r="R27">
        <v>20797</v>
      </c>
      <c r="S27">
        <v>25419</v>
      </c>
      <c r="U27">
        <v>46216</v>
      </c>
    </row>
    <row r="28" spans="1:21" x14ac:dyDescent="0.3">
      <c r="A28" t="s">
        <v>30</v>
      </c>
      <c r="B28" t="s">
        <v>95</v>
      </c>
      <c r="C28" t="s">
        <v>104</v>
      </c>
      <c r="D28" t="s">
        <v>100</v>
      </c>
      <c r="E28" t="s">
        <v>21</v>
      </c>
      <c r="F28">
        <v>208.8</v>
      </c>
      <c r="G28">
        <v>255.2</v>
      </c>
      <c r="I28">
        <v>464</v>
      </c>
      <c r="J28">
        <v>53</v>
      </c>
      <c r="K28">
        <v>65</v>
      </c>
      <c r="M28">
        <v>118</v>
      </c>
      <c r="N28">
        <v>1252.8</v>
      </c>
      <c r="O28">
        <v>1531.2</v>
      </c>
      <c r="Q28">
        <v>2784</v>
      </c>
      <c r="R28">
        <v>212</v>
      </c>
      <c r="S28">
        <v>260</v>
      </c>
      <c r="U28">
        <v>472</v>
      </c>
    </row>
    <row r="29" spans="1:21" x14ac:dyDescent="0.3">
      <c r="A29" t="s">
        <v>30</v>
      </c>
      <c r="B29" t="s">
        <v>95</v>
      </c>
      <c r="C29" t="s">
        <v>104</v>
      </c>
      <c r="D29" t="s">
        <v>101</v>
      </c>
      <c r="E29" t="s">
        <v>22</v>
      </c>
      <c r="F29">
        <v>1323.45</v>
      </c>
      <c r="G29">
        <v>1617.55</v>
      </c>
      <c r="I29">
        <v>2941</v>
      </c>
      <c r="J29">
        <v>783</v>
      </c>
      <c r="K29">
        <v>958</v>
      </c>
      <c r="M29">
        <v>1741</v>
      </c>
      <c r="N29">
        <v>7940.7</v>
      </c>
      <c r="O29">
        <v>9705.3000000000011</v>
      </c>
      <c r="Q29">
        <v>17646</v>
      </c>
      <c r="R29">
        <v>3134</v>
      </c>
      <c r="S29">
        <v>3830</v>
      </c>
      <c r="U29">
        <v>6964</v>
      </c>
    </row>
    <row r="30" spans="1:21" x14ac:dyDescent="0.3">
      <c r="A30" t="s">
        <v>30</v>
      </c>
      <c r="B30" t="s">
        <v>95</v>
      </c>
      <c r="C30" t="s">
        <v>104</v>
      </c>
      <c r="D30" t="s">
        <v>102</v>
      </c>
      <c r="E30" t="s">
        <v>23</v>
      </c>
      <c r="F30">
        <v>92.25</v>
      </c>
      <c r="G30">
        <v>112.75</v>
      </c>
      <c r="I30">
        <v>205</v>
      </c>
      <c r="J30">
        <v>140</v>
      </c>
      <c r="K30">
        <v>172</v>
      </c>
      <c r="M30">
        <v>312</v>
      </c>
      <c r="N30">
        <v>553.5</v>
      </c>
      <c r="O30">
        <v>676.5</v>
      </c>
      <c r="Q30">
        <v>1230</v>
      </c>
      <c r="R30">
        <v>562</v>
      </c>
      <c r="S30">
        <v>686</v>
      </c>
      <c r="U30">
        <v>1248</v>
      </c>
    </row>
    <row r="31" spans="1:21" x14ac:dyDescent="0.3">
      <c r="A31" t="s">
        <v>30</v>
      </c>
      <c r="B31" t="s">
        <v>95</v>
      </c>
      <c r="C31" t="s">
        <v>104</v>
      </c>
      <c r="D31" t="s">
        <v>103</v>
      </c>
      <c r="E31" t="s">
        <v>24</v>
      </c>
      <c r="F31">
        <v>80.55</v>
      </c>
      <c r="G31">
        <v>98.45</v>
      </c>
      <c r="I31">
        <v>179</v>
      </c>
      <c r="J31">
        <v>54</v>
      </c>
      <c r="K31">
        <v>65</v>
      </c>
      <c r="M31">
        <v>119</v>
      </c>
      <c r="N31">
        <v>483.3</v>
      </c>
      <c r="O31">
        <v>590.70000000000005</v>
      </c>
      <c r="Q31">
        <v>1074</v>
      </c>
      <c r="R31">
        <v>428</v>
      </c>
      <c r="S31">
        <v>524</v>
      </c>
      <c r="U31">
        <v>952</v>
      </c>
    </row>
    <row r="32" spans="1:21" x14ac:dyDescent="0.3">
      <c r="A32" t="s">
        <v>30</v>
      </c>
      <c r="B32" t="s">
        <v>95</v>
      </c>
      <c r="C32" t="s">
        <v>104</v>
      </c>
      <c r="D32" t="s">
        <v>105</v>
      </c>
      <c r="E32" t="s">
        <v>26</v>
      </c>
      <c r="F32">
        <v>0</v>
      </c>
      <c r="G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U32">
        <v>0</v>
      </c>
    </row>
    <row r="33" spans="1:21" x14ac:dyDescent="0.3">
      <c r="A33" t="s">
        <v>30</v>
      </c>
      <c r="B33" t="s">
        <v>95</v>
      </c>
      <c r="C33" t="s">
        <v>104</v>
      </c>
      <c r="D33" t="s">
        <v>105</v>
      </c>
      <c r="E33" t="s">
        <v>26</v>
      </c>
      <c r="F33">
        <v>0</v>
      </c>
      <c r="G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U33">
        <v>0</v>
      </c>
    </row>
    <row r="34" spans="1:21" x14ac:dyDescent="0.3">
      <c r="A34" t="s">
        <v>30</v>
      </c>
      <c r="B34" t="s">
        <v>95</v>
      </c>
      <c r="C34" t="s">
        <v>104</v>
      </c>
      <c r="D34" t="s">
        <v>105</v>
      </c>
      <c r="E34" t="s">
        <v>26</v>
      </c>
      <c r="F34">
        <v>0</v>
      </c>
      <c r="G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U34">
        <v>0</v>
      </c>
    </row>
    <row r="35" spans="1:21" x14ac:dyDescent="0.3">
      <c r="A35" t="s">
        <v>30</v>
      </c>
      <c r="B35" t="s">
        <v>106</v>
      </c>
      <c r="C35" t="s">
        <v>55</v>
      </c>
      <c r="D35" t="s">
        <v>97</v>
      </c>
      <c r="E35" t="s">
        <v>11</v>
      </c>
      <c r="F35">
        <v>624130</v>
      </c>
      <c r="G35">
        <v>762826</v>
      </c>
      <c r="I35">
        <v>1386956</v>
      </c>
      <c r="J35">
        <v>280859</v>
      </c>
      <c r="K35">
        <v>343947</v>
      </c>
      <c r="M35">
        <v>624806</v>
      </c>
      <c r="N35">
        <v>936195</v>
      </c>
      <c r="O35">
        <v>1144239</v>
      </c>
      <c r="Q35">
        <v>2080434</v>
      </c>
      <c r="R35">
        <v>421288</v>
      </c>
      <c r="S35">
        <v>514908</v>
      </c>
      <c r="U35">
        <v>936195</v>
      </c>
    </row>
    <row r="36" spans="1:21" x14ac:dyDescent="0.3">
      <c r="A36" t="s">
        <v>30</v>
      </c>
      <c r="B36" t="s">
        <v>107</v>
      </c>
      <c r="C36" t="s">
        <v>55</v>
      </c>
      <c r="D36" t="s">
        <v>47</v>
      </c>
      <c r="E36" t="s">
        <v>14</v>
      </c>
      <c r="F36">
        <v>1298906</v>
      </c>
      <c r="G36">
        <v>1587551</v>
      </c>
      <c r="I36">
        <v>2886457</v>
      </c>
      <c r="J36">
        <v>584508</v>
      </c>
      <c r="K36">
        <v>714398</v>
      </c>
      <c r="M36">
        <v>1298906</v>
      </c>
      <c r="N36">
        <v>1948358</v>
      </c>
      <c r="O36">
        <v>2381327</v>
      </c>
      <c r="Q36">
        <v>4329685</v>
      </c>
      <c r="R36">
        <v>876761</v>
      </c>
      <c r="S36">
        <v>1071597</v>
      </c>
      <c r="U36">
        <v>1948358</v>
      </c>
    </row>
    <row r="37" spans="1:21" x14ac:dyDescent="0.3">
      <c r="A37" t="s">
        <v>30</v>
      </c>
      <c r="B37" t="s">
        <v>108</v>
      </c>
      <c r="C37" t="s">
        <v>55</v>
      </c>
      <c r="D37" t="s">
        <v>69</v>
      </c>
      <c r="E37" t="s">
        <v>27</v>
      </c>
      <c r="F37">
        <v>1398608</v>
      </c>
      <c r="G37">
        <v>1709410</v>
      </c>
      <c r="I37">
        <v>3108018</v>
      </c>
      <c r="J37">
        <v>629374</v>
      </c>
      <c r="K37">
        <v>769235</v>
      </c>
      <c r="M37">
        <v>1398608</v>
      </c>
      <c r="N37">
        <v>2097912</v>
      </c>
      <c r="O37">
        <v>2564115</v>
      </c>
      <c r="Q37">
        <v>4662027</v>
      </c>
      <c r="R37">
        <v>944060</v>
      </c>
      <c r="S37">
        <v>1654</v>
      </c>
      <c r="U37">
        <v>945714</v>
      </c>
    </row>
    <row r="38" spans="1:21" x14ac:dyDescent="0.3">
      <c r="A38" t="s">
        <v>30</v>
      </c>
      <c r="B38" t="s">
        <v>109</v>
      </c>
      <c r="C38" t="s">
        <v>55</v>
      </c>
      <c r="D38" t="s">
        <v>42</v>
      </c>
      <c r="E38" t="s">
        <v>13</v>
      </c>
      <c r="F38">
        <v>1255010</v>
      </c>
      <c r="G38">
        <v>1533901</v>
      </c>
      <c r="I38">
        <v>2788911</v>
      </c>
      <c r="J38">
        <v>564755</v>
      </c>
      <c r="K38">
        <v>690255</v>
      </c>
      <c r="M38">
        <v>1255010</v>
      </c>
      <c r="N38">
        <v>1882515</v>
      </c>
      <c r="O38">
        <v>2300852</v>
      </c>
      <c r="Q38">
        <v>4183367</v>
      </c>
      <c r="R38">
        <v>847132</v>
      </c>
      <c r="S38">
        <v>613</v>
      </c>
      <c r="U38">
        <v>847745</v>
      </c>
    </row>
    <row r="39" spans="1:21" x14ac:dyDescent="0.3">
      <c r="A39" t="s">
        <v>30</v>
      </c>
      <c r="B39" t="s">
        <v>110</v>
      </c>
      <c r="C39" t="s">
        <v>55</v>
      </c>
      <c r="D39" t="s">
        <v>47</v>
      </c>
      <c r="E39" t="s">
        <v>28</v>
      </c>
      <c r="F39">
        <v>765000</v>
      </c>
      <c r="G39">
        <v>735000</v>
      </c>
      <c r="I39">
        <v>1500000</v>
      </c>
      <c r="J39">
        <v>0</v>
      </c>
      <c r="K39">
        <v>0</v>
      </c>
      <c r="M39">
        <v>0</v>
      </c>
      <c r="N39">
        <v>0</v>
      </c>
      <c r="O39">
        <v>0</v>
      </c>
      <c r="Q39">
        <f>N39+O39</f>
        <v>0</v>
      </c>
      <c r="R39">
        <v>0</v>
      </c>
      <c r="S39">
        <v>0</v>
      </c>
      <c r="U39">
        <v>0</v>
      </c>
    </row>
    <row r="40" spans="1:21" x14ac:dyDescent="0.3">
      <c r="A40" t="s">
        <v>30</v>
      </c>
      <c r="B40" t="s">
        <v>111</v>
      </c>
      <c r="C40" t="s">
        <v>112</v>
      </c>
      <c r="D40" t="s">
        <v>18</v>
      </c>
      <c r="E40" t="s">
        <v>18</v>
      </c>
      <c r="F40">
        <v>20250</v>
      </c>
      <c r="G40">
        <v>24750</v>
      </c>
      <c r="I40">
        <v>45000</v>
      </c>
      <c r="J40">
        <v>20250</v>
      </c>
      <c r="K40">
        <v>24750</v>
      </c>
      <c r="M40">
        <v>45000</v>
      </c>
      <c r="N40">
        <v>0</v>
      </c>
      <c r="O40">
        <v>0</v>
      </c>
      <c r="Q40">
        <f t="shared" ref="Q40:Q41" si="0">N40+O40</f>
        <v>0</v>
      </c>
      <c r="R40">
        <v>0</v>
      </c>
      <c r="S40">
        <v>0</v>
      </c>
      <c r="U40">
        <v>0</v>
      </c>
    </row>
    <row r="41" spans="1:21" x14ac:dyDescent="0.3">
      <c r="A41" t="s">
        <v>30</v>
      </c>
      <c r="B41" t="s">
        <v>113</v>
      </c>
      <c r="C41" t="s">
        <v>55</v>
      </c>
      <c r="D41" t="s">
        <v>18</v>
      </c>
      <c r="E41" t="s">
        <v>18</v>
      </c>
      <c r="F41">
        <v>0</v>
      </c>
      <c r="G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Q41">
        <f t="shared" si="0"/>
        <v>0</v>
      </c>
      <c r="R41">
        <v>0</v>
      </c>
      <c r="S41">
        <v>0</v>
      </c>
      <c r="U41">
        <v>0</v>
      </c>
    </row>
    <row r="42" spans="1:21" hidden="1" x14ac:dyDescent="0.3">
      <c r="A42" t="s">
        <v>114</v>
      </c>
      <c r="B42" t="s">
        <v>31</v>
      </c>
      <c r="C42" t="s">
        <v>32</v>
      </c>
      <c r="D42" t="s">
        <v>33</v>
      </c>
      <c r="E42" t="s">
        <v>0</v>
      </c>
      <c r="F42" t="s">
        <v>1</v>
      </c>
      <c r="G42" t="s">
        <v>2</v>
      </c>
      <c r="I42" t="s">
        <v>3</v>
      </c>
      <c r="J42" t="s">
        <v>4</v>
      </c>
      <c r="K42" t="s">
        <v>5</v>
      </c>
      <c r="M42" t="s">
        <v>6</v>
      </c>
      <c r="N42" t="s">
        <v>7</v>
      </c>
      <c r="O42" t="s">
        <v>8</v>
      </c>
      <c r="Q42" t="s">
        <v>9</v>
      </c>
      <c r="R42" t="s">
        <v>4</v>
      </c>
      <c r="S42" t="s">
        <v>5</v>
      </c>
      <c r="U42" t="s">
        <v>6</v>
      </c>
    </row>
    <row r="43" spans="1:21" hidden="1" x14ac:dyDescent="0.3">
      <c r="A43" t="s">
        <v>114</v>
      </c>
      <c r="B43" t="s">
        <v>34</v>
      </c>
      <c r="C43" t="s">
        <v>35</v>
      </c>
      <c r="D43" t="s">
        <v>36</v>
      </c>
      <c r="E43" t="s">
        <v>19</v>
      </c>
      <c r="F43">
        <v>500</v>
      </c>
      <c r="G43">
        <v>500</v>
      </c>
      <c r="I43">
        <v>1000</v>
      </c>
      <c r="J43">
        <v>314</v>
      </c>
      <c r="K43">
        <v>841</v>
      </c>
      <c r="M43">
        <v>1155</v>
      </c>
      <c r="N43">
        <v>3000</v>
      </c>
      <c r="O43">
        <v>3000</v>
      </c>
      <c r="Q43">
        <v>6000</v>
      </c>
      <c r="R43">
        <v>1884</v>
      </c>
      <c r="S43">
        <v>5046</v>
      </c>
      <c r="U43">
        <v>6930</v>
      </c>
    </row>
    <row r="44" spans="1:21" hidden="1" x14ac:dyDescent="0.3">
      <c r="A44" t="s">
        <v>114</v>
      </c>
      <c r="B44" t="s">
        <v>34</v>
      </c>
      <c r="C44" t="s">
        <v>37</v>
      </c>
      <c r="D44" t="s">
        <v>36</v>
      </c>
      <c r="E44" t="s">
        <v>19</v>
      </c>
      <c r="F44">
        <v>30000</v>
      </c>
      <c r="G44">
        <v>30000</v>
      </c>
      <c r="I44">
        <v>60000</v>
      </c>
      <c r="J44">
        <v>81376</v>
      </c>
      <c r="K44">
        <v>96064</v>
      </c>
      <c r="M44">
        <v>177440</v>
      </c>
      <c r="N44">
        <v>0</v>
      </c>
      <c r="O44">
        <v>0</v>
      </c>
      <c r="Q44">
        <v>0</v>
      </c>
      <c r="R44">
        <v>0</v>
      </c>
      <c r="S44">
        <v>0</v>
      </c>
      <c r="U44">
        <v>0</v>
      </c>
    </row>
    <row r="45" spans="1:21" hidden="1" x14ac:dyDescent="0.3">
      <c r="A45" t="s">
        <v>114</v>
      </c>
      <c r="B45" t="s">
        <v>34</v>
      </c>
      <c r="C45" t="s">
        <v>37</v>
      </c>
      <c r="D45" t="s">
        <v>36</v>
      </c>
      <c r="E45" t="s">
        <v>38</v>
      </c>
      <c r="F45">
        <v>30000</v>
      </c>
      <c r="G45">
        <v>30000</v>
      </c>
      <c r="I45">
        <v>60000</v>
      </c>
      <c r="J45">
        <v>22016</v>
      </c>
      <c r="K45">
        <v>33024</v>
      </c>
      <c r="M45">
        <v>55040</v>
      </c>
      <c r="N45">
        <v>0</v>
      </c>
      <c r="O45">
        <v>0</v>
      </c>
      <c r="Q45">
        <v>0</v>
      </c>
      <c r="R45">
        <v>0</v>
      </c>
      <c r="S45">
        <v>0</v>
      </c>
      <c r="U45">
        <v>0</v>
      </c>
    </row>
    <row r="46" spans="1:21" hidden="1" x14ac:dyDescent="0.3">
      <c r="A46" t="s">
        <v>114</v>
      </c>
      <c r="B46" t="s">
        <v>34</v>
      </c>
      <c r="C46" t="s">
        <v>37</v>
      </c>
      <c r="D46" t="s">
        <v>36</v>
      </c>
      <c r="E46" t="s">
        <v>39</v>
      </c>
      <c r="F46">
        <v>30000</v>
      </c>
      <c r="G46">
        <v>30000</v>
      </c>
      <c r="I46">
        <v>60000</v>
      </c>
      <c r="J46">
        <v>6464</v>
      </c>
      <c r="K46">
        <v>9696</v>
      </c>
      <c r="M46">
        <v>16160</v>
      </c>
      <c r="N46">
        <v>0</v>
      </c>
      <c r="O46">
        <v>0</v>
      </c>
      <c r="Q46">
        <v>0</v>
      </c>
      <c r="R46">
        <v>0</v>
      </c>
      <c r="S46">
        <v>0</v>
      </c>
      <c r="U46">
        <v>0</v>
      </c>
    </row>
    <row r="47" spans="1:21" hidden="1" x14ac:dyDescent="0.3">
      <c r="A47" t="s">
        <v>114</v>
      </c>
      <c r="B47" t="s">
        <v>40</v>
      </c>
      <c r="C47" t="s">
        <v>41</v>
      </c>
      <c r="D47" t="s">
        <v>42</v>
      </c>
      <c r="E47" t="s">
        <v>43</v>
      </c>
      <c r="F47">
        <v>900</v>
      </c>
      <c r="G47">
        <v>700</v>
      </c>
      <c r="I47">
        <v>1600</v>
      </c>
      <c r="J47">
        <v>900</v>
      </c>
      <c r="K47">
        <v>700</v>
      </c>
      <c r="M47">
        <v>1600</v>
      </c>
      <c r="N47">
        <v>5400</v>
      </c>
      <c r="O47">
        <v>4200</v>
      </c>
      <c r="Q47">
        <v>9600</v>
      </c>
      <c r="R47">
        <v>5400</v>
      </c>
      <c r="S47">
        <v>4200</v>
      </c>
      <c r="U47">
        <v>9600</v>
      </c>
    </row>
    <row r="48" spans="1:21" hidden="1" x14ac:dyDescent="0.3">
      <c r="A48" t="s">
        <v>114</v>
      </c>
      <c r="B48" t="s">
        <v>40</v>
      </c>
      <c r="C48" t="s">
        <v>44</v>
      </c>
      <c r="D48" t="s">
        <v>42</v>
      </c>
      <c r="E48" t="s">
        <v>43</v>
      </c>
      <c r="F48">
        <v>900</v>
      </c>
      <c r="G48">
        <v>600</v>
      </c>
      <c r="I48">
        <v>1500</v>
      </c>
      <c r="J48">
        <v>0</v>
      </c>
      <c r="K48">
        <v>0</v>
      </c>
      <c r="M48">
        <v>0</v>
      </c>
      <c r="N48">
        <v>5400</v>
      </c>
      <c r="O48">
        <v>3600</v>
      </c>
      <c r="Q48">
        <v>9000</v>
      </c>
      <c r="R48">
        <v>0</v>
      </c>
      <c r="S48">
        <v>0</v>
      </c>
      <c r="U48">
        <v>0</v>
      </c>
    </row>
    <row r="49" spans="1:21" hidden="1" x14ac:dyDescent="0.3">
      <c r="A49" t="s">
        <v>114</v>
      </c>
      <c r="B49" t="s">
        <v>40</v>
      </c>
      <c r="C49" t="s">
        <v>44</v>
      </c>
      <c r="D49" t="s">
        <v>42</v>
      </c>
      <c r="E49" t="s">
        <v>45</v>
      </c>
      <c r="F49">
        <v>900</v>
      </c>
      <c r="G49">
        <v>600</v>
      </c>
      <c r="I49">
        <v>1500</v>
      </c>
      <c r="J49">
        <v>0</v>
      </c>
      <c r="K49">
        <v>0</v>
      </c>
      <c r="M49">
        <v>0</v>
      </c>
      <c r="N49">
        <v>5400</v>
      </c>
      <c r="O49">
        <v>3600</v>
      </c>
      <c r="Q49">
        <v>9000</v>
      </c>
      <c r="R49">
        <v>0</v>
      </c>
      <c r="S49">
        <v>0</v>
      </c>
      <c r="U49">
        <v>0</v>
      </c>
    </row>
    <row r="50" spans="1:21" hidden="1" x14ac:dyDescent="0.3">
      <c r="A50" t="s">
        <v>114</v>
      </c>
      <c r="B50" t="s">
        <v>40</v>
      </c>
      <c r="C50" t="s">
        <v>46</v>
      </c>
      <c r="D50" t="s">
        <v>42</v>
      </c>
      <c r="E50" t="s">
        <v>45</v>
      </c>
      <c r="F50">
        <v>2</v>
      </c>
      <c r="G50">
        <v>3</v>
      </c>
      <c r="I50">
        <v>5</v>
      </c>
      <c r="J50">
        <v>0</v>
      </c>
      <c r="K50">
        <v>0</v>
      </c>
      <c r="M50">
        <v>0</v>
      </c>
      <c r="N50">
        <v>1000</v>
      </c>
      <c r="O50">
        <v>500</v>
      </c>
      <c r="Q50">
        <v>1500</v>
      </c>
      <c r="R50">
        <v>0</v>
      </c>
      <c r="S50">
        <v>0</v>
      </c>
      <c r="U50">
        <v>0</v>
      </c>
    </row>
    <row r="51" spans="1:21" hidden="1" x14ac:dyDescent="0.3">
      <c r="A51" t="s">
        <v>114</v>
      </c>
      <c r="B51" t="s">
        <v>40</v>
      </c>
      <c r="C51" t="s">
        <v>46</v>
      </c>
      <c r="D51" t="s">
        <v>42</v>
      </c>
      <c r="E51" t="s">
        <v>43</v>
      </c>
      <c r="F51">
        <v>2</v>
      </c>
      <c r="G51">
        <v>3</v>
      </c>
      <c r="I51">
        <v>5</v>
      </c>
      <c r="J51">
        <v>0</v>
      </c>
      <c r="K51">
        <v>0</v>
      </c>
      <c r="M51">
        <v>0</v>
      </c>
      <c r="N51">
        <v>1000</v>
      </c>
      <c r="O51">
        <v>500</v>
      </c>
      <c r="Q51">
        <v>1500</v>
      </c>
      <c r="R51">
        <v>0</v>
      </c>
      <c r="S51">
        <v>0</v>
      </c>
      <c r="U51">
        <v>0</v>
      </c>
    </row>
    <row r="52" spans="1:21" hidden="1" x14ac:dyDescent="0.3">
      <c r="A52" t="s">
        <v>114</v>
      </c>
      <c r="B52" t="s">
        <v>40</v>
      </c>
      <c r="C52" t="s">
        <v>46</v>
      </c>
      <c r="D52" t="s">
        <v>47</v>
      </c>
      <c r="E52" t="s">
        <v>48</v>
      </c>
      <c r="F52">
        <v>2</v>
      </c>
      <c r="G52">
        <v>3</v>
      </c>
      <c r="I52">
        <v>5</v>
      </c>
      <c r="J52">
        <v>4</v>
      </c>
      <c r="K52">
        <v>6</v>
      </c>
      <c r="M52">
        <v>10</v>
      </c>
      <c r="N52">
        <v>1000</v>
      </c>
      <c r="O52">
        <v>500</v>
      </c>
      <c r="Q52">
        <v>1500</v>
      </c>
      <c r="R52">
        <v>1000</v>
      </c>
      <c r="S52">
        <v>500</v>
      </c>
      <c r="U52">
        <v>1500</v>
      </c>
    </row>
    <row r="53" spans="1:21" hidden="1" x14ac:dyDescent="0.3">
      <c r="A53" t="s">
        <v>114</v>
      </c>
      <c r="B53" t="s">
        <v>40</v>
      </c>
      <c r="C53" t="s">
        <v>49</v>
      </c>
      <c r="D53" t="s">
        <v>47</v>
      </c>
      <c r="E53" t="s">
        <v>48</v>
      </c>
      <c r="F53">
        <v>750</v>
      </c>
      <c r="G53">
        <v>750</v>
      </c>
      <c r="I53">
        <v>1500</v>
      </c>
      <c r="J53">
        <v>0</v>
      </c>
      <c r="K53">
        <v>0</v>
      </c>
      <c r="M53">
        <v>0</v>
      </c>
      <c r="N53">
        <v>4500</v>
      </c>
      <c r="O53">
        <v>4500</v>
      </c>
      <c r="Q53">
        <v>9000</v>
      </c>
      <c r="R53">
        <v>0</v>
      </c>
      <c r="S53">
        <v>0</v>
      </c>
      <c r="U53">
        <v>0</v>
      </c>
    </row>
    <row r="54" spans="1:21" hidden="1" x14ac:dyDescent="0.3">
      <c r="A54" t="s">
        <v>114</v>
      </c>
      <c r="B54" t="s">
        <v>40</v>
      </c>
      <c r="C54" t="s">
        <v>46</v>
      </c>
      <c r="D54" t="s">
        <v>47</v>
      </c>
      <c r="E54" t="s">
        <v>48</v>
      </c>
      <c r="F54">
        <v>14</v>
      </c>
      <c r="G54">
        <v>30</v>
      </c>
      <c r="I54">
        <v>44</v>
      </c>
      <c r="J54">
        <v>14</v>
      </c>
      <c r="K54">
        <v>26</v>
      </c>
      <c r="M54">
        <v>40</v>
      </c>
      <c r="N54">
        <v>4500</v>
      </c>
      <c r="O54">
        <v>4500</v>
      </c>
      <c r="Q54">
        <v>9000</v>
      </c>
      <c r="R54">
        <v>4500</v>
      </c>
      <c r="S54">
        <v>4500</v>
      </c>
      <c r="U54">
        <v>9000</v>
      </c>
    </row>
    <row r="55" spans="1:21" hidden="1" x14ac:dyDescent="0.3">
      <c r="A55" t="s">
        <v>114</v>
      </c>
      <c r="B55" t="s">
        <v>40</v>
      </c>
      <c r="C55" t="s">
        <v>50</v>
      </c>
      <c r="D55" t="s">
        <v>47</v>
      </c>
      <c r="E55" t="s">
        <v>48</v>
      </c>
      <c r="F55">
        <v>500</v>
      </c>
      <c r="G55">
        <v>500</v>
      </c>
      <c r="I55">
        <v>1000</v>
      </c>
      <c r="J55">
        <v>0</v>
      </c>
      <c r="K55">
        <v>0</v>
      </c>
      <c r="M55">
        <v>0</v>
      </c>
      <c r="N55">
        <v>3000</v>
      </c>
      <c r="O55">
        <v>3000</v>
      </c>
      <c r="Q55">
        <v>6000</v>
      </c>
      <c r="R55">
        <v>0</v>
      </c>
      <c r="S55">
        <v>0</v>
      </c>
      <c r="U55">
        <v>0</v>
      </c>
    </row>
    <row r="56" spans="1:21" hidden="1" x14ac:dyDescent="0.3">
      <c r="A56" t="s">
        <v>114</v>
      </c>
      <c r="B56" t="s">
        <v>40</v>
      </c>
      <c r="C56" t="s">
        <v>51</v>
      </c>
      <c r="D56" t="s">
        <v>47</v>
      </c>
      <c r="E56" t="s">
        <v>48</v>
      </c>
      <c r="F56">
        <v>12</v>
      </c>
      <c r="G56">
        <v>13</v>
      </c>
      <c r="I56">
        <v>25</v>
      </c>
      <c r="J56">
        <v>0</v>
      </c>
      <c r="K56">
        <v>0</v>
      </c>
      <c r="M56">
        <v>0</v>
      </c>
      <c r="N56">
        <v>72</v>
      </c>
      <c r="O56">
        <v>78</v>
      </c>
      <c r="Q56">
        <v>150</v>
      </c>
      <c r="R56">
        <v>0</v>
      </c>
      <c r="S56">
        <v>0</v>
      </c>
      <c r="U56">
        <v>0</v>
      </c>
    </row>
    <row r="57" spans="1:21" hidden="1" x14ac:dyDescent="0.3">
      <c r="A57" t="s">
        <v>114</v>
      </c>
      <c r="B57" t="s">
        <v>40</v>
      </c>
      <c r="C57" t="s">
        <v>52</v>
      </c>
      <c r="D57" t="s">
        <v>47</v>
      </c>
      <c r="E57" t="s">
        <v>48</v>
      </c>
      <c r="F57">
        <v>410</v>
      </c>
      <c r="G57">
        <v>290</v>
      </c>
      <c r="I57">
        <v>700</v>
      </c>
      <c r="J57">
        <v>0</v>
      </c>
      <c r="K57">
        <v>0</v>
      </c>
      <c r="M57">
        <v>0</v>
      </c>
      <c r="N57">
        <v>2460</v>
      </c>
      <c r="O57">
        <v>1740</v>
      </c>
      <c r="Q57">
        <v>4200</v>
      </c>
      <c r="R57">
        <v>0</v>
      </c>
      <c r="S57">
        <v>0</v>
      </c>
      <c r="U57">
        <v>0</v>
      </c>
    </row>
    <row r="58" spans="1:21" hidden="1" x14ac:dyDescent="0.3">
      <c r="A58" t="s">
        <v>114</v>
      </c>
      <c r="B58" t="s">
        <v>40</v>
      </c>
      <c r="C58" t="s">
        <v>51</v>
      </c>
      <c r="D58" t="s">
        <v>47</v>
      </c>
      <c r="E58" t="s">
        <v>48</v>
      </c>
      <c r="F58">
        <v>410</v>
      </c>
      <c r="G58">
        <v>290</v>
      </c>
      <c r="I58">
        <v>700</v>
      </c>
      <c r="J58">
        <v>0</v>
      </c>
      <c r="K58">
        <v>0</v>
      </c>
      <c r="M58">
        <v>0</v>
      </c>
      <c r="N58">
        <v>2460</v>
      </c>
      <c r="O58">
        <v>1740</v>
      </c>
      <c r="Q58">
        <v>4200</v>
      </c>
      <c r="R58">
        <v>0</v>
      </c>
      <c r="S58">
        <v>0</v>
      </c>
      <c r="U58">
        <v>0</v>
      </c>
    </row>
    <row r="59" spans="1:21" hidden="1" x14ac:dyDescent="0.3">
      <c r="A59" t="s">
        <v>114</v>
      </c>
      <c r="B59" t="s">
        <v>40</v>
      </c>
      <c r="C59" t="s">
        <v>53</v>
      </c>
      <c r="D59" t="s">
        <v>47</v>
      </c>
      <c r="E59" t="s">
        <v>48</v>
      </c>
      <c r="F59">
        <v>300</v>
      </c>
      <c r="G59">
        <v>0</v>
      </c>
      <c r="I59">
        <v>300</v>
      </c>
      <c r="J59">
        <v>0</v>
      </c>
      <c r="K59">
        <v>0</v>
      </c>
      <c r="M59">
        <v>0</v>
      </c>
      <c r="N59">
        <v>1800</v>
      </c>
      <c r="O59">
        <v>0</v>
      </c>
      <c r="Q59">
        <v>1800</v>
      </c>
      <c r="R59">
        <v>0</v>
      </c>
      <c r="S59">
        <v>0</v>
      </c>
      <c r="U59">
        <v>0</v>
      </c>
    </row>
    <row r="60" spans="1:21" hidden="1" x14ac:dyDescent="0.3">
      <c r="A60" t="s">
        <v>114</v>
      </c>
      <c r="B60" t="s">
        <v>40</v>
      </c>
      <c r="C60" t="s">
        <v>54</v>
      </c>
      <c r="D60" t="s">
        <v>47</v>
      </c>
      <c r="E60" t="s">
        <v>48</v>
      </c>
      <c r="F60">
        <v>240</v>
      </c>
      <c r="G60">
        <v>135</v>
      </c>
      <c r="I60">
        <v>375</v>
      </c>
      <c r="J60">
        <v>0</v>
      </c>
      <c r="K60">
        <v>0</v>
      </c>
      <c r="M60">
        <v>0</v>
      </c>
      <c r="N60">
        <v>1440</v>
      </c>
      <c r="O60">
        <v>810</v>
      </c>
      <c r="Q60">
        <v>2250</v>
      </c>
      <c r="R60">
        <v>0</v>
      </c>
      <c r="S60">
        <v>0</v>
      </c>
      <c r="U60">
        <v>0</v>
      </c>
    </row>
    <row r="61" spans="1:21" hidden="1" x14ac:dyDescent="0.3">
      <c r="A61" t="s">
        <v>114</v>
      </c>
      <c r="B61" t="s">
        <v>40</v>
      </c>
      <c r="C61" t="s">
        <v>54</v>
      </c>
      <c r="D61" t="s">
        <v>47</v>
      </c>
      <c r="E61" t="s">
        <v>48</v>
      </c>
      <c r="F61">
        <v>100</v>
      </c>
      <c r="G61">
        <v>0</v>
      </c>
      <c r="I61">
        <v>100</v>
      </c>
      <c r="J61">
        <v>0</v>
      </c>
      <c r="K61">
        <v>0</v>
      </c>
      <c r="M61">
        <v>0</v>
      </c>
      <c r="N61">
        <v>600</v>
      </c>
      <c r="O61">
        <v>0</v>
      </c>
      <c r="Q61">
        <v>600</v>
      </c>
      <c r="R61">
        <v>0</v>
      </c>
      <c r="S61">
        <v>0</v>
      </c>
      <c r="U61">
        <v>0</v>
      </c>
    </row>
    <row r="62" spans="1:21" hidden="1" x14ac:dyDescent="0.3">
      <c r="A62" t="s">
        <v>114</v>
      </c>
      <c r="B62" t="s">
        <v>40</v>
      </c>
      <c r="C62" t="s">
        <v>46</v>
      </c>
      <c r="D62" t="s">
        <v>47</v>
      </c>
      <c r="E62" t="s">
        <v>48</v>
      </c>
      <c r="F62">
        <v>8</v>
      </c>
      <c r="G62">
        <v>12</v>
      </c>
      <c r="I62">
        <v>20</v>
      </c>
      <c r="J62">
        <v>8</v>
      </c>
      <c r="K62">
        <v>12</v>
      </c>
      <c r="M62">
        <v>20</v>
      </c>
      <c r="N62">
        <v>48</v>
      </c>
      <c r="O62">
        <v>72</v>
      </c>
      <c r="Q62">
        <v>120</v>
      </c>
      <c r="R62">
        <v>48</v>
      </c>
      <c r="S62">
        <v>72</v>
      </c>
      <c r="U62">
        <v>120</v>
      </c>
    </row>
    <row r="63" spans="1:21" hidden="1" x14ac:dyDescent="0.3">
      <c r="A63" t="s">
        <v>114</v>
      </c>
      <c r="B63" t="s">
        <v>40</v>
      </c>
      <c r="C63" t="s">
        <v>55</v>
      </c>
      <c r="D63" t="s">
        <v>47</v>
      </c>
      <c r="E63" t="s">
        <v>48</v>
      </c>
      <c r="F63">
        <v>900</v>
      </c>
      <c r="G63">
        <v>700</v>
      </c>
      <c r="I63">
        <v>1600</v>
      </c>
      <c r="J63">
        <v>900</v>
      </c>
      <c r="K63">
        <v>700</v>
      </c>
      <c r="M63">
        <v>1600</v>
      </c>
      <c r="N63">
        <v>5400</v>
      </c>
      <c r="O63">
        <v>4200</v>
      </c>
      <c r="Q63">
        <v>9600</v>
      </c>
      <c r="R63">
        <v>5400</v>
      </c>
      <c r="S63">
        <v>4200</v>
      </c>
      <c r="U63">
        <v>9600</v>
      </c>
    </row>
    <row r="64" spans="1:21" hidden="1" x14ac:dyDescent="0.3">
      <c r="A64" t="s">
        <v>114</v>
      </c>
      <c r="B64" t="s">
        <v>40</v>
      </c>
      <c r="C64" t="s">
        <v>41</v>
      </c>
      <c r="D64" t="s">
        <v>47</v>
      </c>
      <c r="E64" t="s">
        <v>56</v>
      </c>
      <c r="F64">
        <v>900</v>
      </c>
      <c r="G64">
        <v>700</v>
      </c>
      <c r="I64">
        <v>1600</v>
      </c>
      <c r="J64">
        <v>900</v>
      </c>
      <c r="K64">
        <v>700</v>
      </c>
      <c r="M64">
        <v>1600</v>
      </c>
      <c r="N64">
        <v>5400</v>
      </c>
      <c r="O64">
        <v>4200</v>
      </c>
      <c r="Q64">
        <v>9600</v>
      </c>
      <c r="R64">
        <v>5400</v>
      </c>
      <c r="S64">
        <v>4200</v>
      </c>
      <c r="U64">
        <v>9600</v>
      </c>
    </row>
    <row r="65" spans="1:21" hidden="1" x14ac:dyDescent="0.3">
      <c r="A65" t="s">
        <v>114</v>
      </c>
      <c r="B65" t="s">
        <v>40</v>
      </c>
      <c r="C65" t="s">
        <v>46</v>
      </c>
      <c r="D65" t="s">
        <v>47</v>
      </c>
      <c r="E65" t="s">
        <v>56</v>
      </c>
      <c r="F65">
        <v>2</v>
      </c>
      <c r="G65">
        <v>3</v>
      </c>
      <c r="I65">
        <v>5</v>
      </c>
      <c r="J65">
        <v>2</v>
      </c>
      <c r="K65">
        <v>3</v>
      </c>
      <c r="M65">
        <v>5</v>
      </c>
      <c r="N65">
        <v>1000</v>
      </c>
      <c r="O65">
        <v>500</v>
      </c>
      <c r="Q65">
        <v>1500</v>
      </c>
      <c r="R65">
        <v>1000</v>
      </c>
      <c r="S65">
        <v>500</v>
      </c>
      <c r="U65">
        <v>1500</v>
      </c>
    </row>
    <row r="66" spans="1:21" hidden="1" x14ac:dyDescent="0.3">
      <c r="A66" t="s">
        <v>114</v>
      </c>
      <c r="B66" t="s">
        <v>40</v>
      </c>
      <c r="C66" t="s">
        <v>49</v>
      </c>
      <c r="D66" t="s">
        <v>47</v>
      </c>
      <c r="E66" t="s">
        <v>56</v>
      </c>
      <c r="F66">
        <v>750</v>
      </c>
      <c r="G66">
        <v>750</v>
      </c>
      <c r="I66">
        <v>1500</v>
      </c>
      <c r="J66">
        <v>0</v>
      </c>
      <c r="K66">
        <v>0</v>
      </c>
      <c r="M66">
        <v>0</v>
      </c>
      <c r="N66">
        <v>4500</v>
      </c>
      <c r="O66">
        <v>4500</v>
      </c>
      <c r="Q66">
        <v>9000</v>
      </c>
      <c r="R66">
        <v>0</v>
      </c>
      <c r="S66">
        <v>0</v>
      </c>
      <c r="U66">
        <v>0</v>
      </c>
    </row>
    <row r="67" spans="1:21" hidden="1" x14ac:dyDescent="0.3">
      <c r="A67" t="s">
        <v>114</v>
      </c>
      <c r="B67" t="s">
        <v>40</v>
      </c>
      <c r="C67" t="s">
        <v>57</v>
      </c>
      <c r="D67" t="s">
        <v>47</v>
      </c>
      <c r="E67" t="s">
        <v>56</v>
      </c>
      <c r="F67">
        <v>36</v>
      </c>
      <c r="G67">
        <v>24</v>
      </c>
      <c r="I67">
        <v>60</v>
      </c>
      <c r="J67">
        <v>0</v>
      </c>
      <c r="K67">
        <v>0</v>
      </c>
      <c r="M67">
        <v>0</v>
      </c>
      <c r="N67">
        <v>216</v>
      </c>
      <c r="O67">
        <v>144</v>
      </c>
      <c r="Q67">
        <v>360</v>
      </c>
      <c r="R67">
        <v>0</v>
      </c>
      <c r="S67">
        <v>0</v>
      </c>
      <c r="U67">
        <v>0</v>
      </c>
    </row>
    <row r="68" spans="1:21" hidden="1" x14ac:dyDescent="0.3">
      <c r="A68" t="s">
        <v>114</v>
      </c>
      <c r="B68" t="s">
        <v>40</v>
      </c>
      <c r="C68" t="s">
        <v>58</v>
      </c>
      <c r="D68" t="s">
        <v>47</v>
      </c>
      <c r="E68" t="s">
        <v>56</v>
      </c>
      <c r="F68">
        <v>200</v>
      </c>
      <c r="G68">
        <v>100</v>
      </c>
      <c r="I68">
        <v>300</v>
      </c>
      <c r="J68">
        <v>200</v>
      </c>
      <c r="K68">
        <v>100</v>
      </c>
      <c r="M68">
        <v>300</v>
      </c>
      <c r="N68">
        <v>1200</v>
      </c>
      <c r="O68">
        <v>600</v>
      </c>
      <c r="Q68">
        <v>1800</v>
      </c>
      <c r="R68">
        <v>1200</v>
      </c>
      <c r="S68">
        <v>600</v>
      </c>
      <c r="U68">
        <v>1800</v>
      </c>
    </row>
    <row r="69" spans="1:21" hidden="1" x14ac:dyDescent="0.3">
      <c r="A69" t="s">
        <v>114</v>
      </c>
      <c r="B69" t="s">
        <v>40</v>
      </c>
      <c r="C69" t="s">
        <v>46</v>
      </c>
      <c r="D69" t="s">
        <v>47</v>
      </c>
      <c r="E69" t="s">
        <v>56</v>
      </c>
      <c r="F69">
        <v>14</v>
      </c>
      <c r="G69">
        <v>30</v>
      </c>
      <c r="I69">
        <v>44</v>
      </c>
      <c r="J69">
        <v>14</v>
      </c>
      <c r="K69">
        <v>26</v>
      </c>
      <c r="M69">
        <v>40</v>
      </c>
      <c r="N69">
        <v>4500</v>
      </c>
      <c r="O69">
        <v>4500</v>
      </c>
      <c r="Q69">
        <v>9000</v>
      </c>
      <c r="R69">
        <v>4500</v>
      </c>
      <c r="S69">
        <v>4500</v>
      </c>
      <c r="U69">
        <v>9000</v>
      </c>
    </row>
    <row r="70" spans="1:21" hidden="1" x14ac:dyDescent="0.3">
      <c r="A70" t="s">
        <v>114</v>
      </c>
      <c r="B70" t="s">
        <v>40</v>
      </c>
      <c r="C70" t="s">
        <v>50</v>
      </c>
      <c r="D70" t="s">
        <v>47</v>
      </c>
      <c r="E70" t="s">
        <v>56</v>
      </c>
      <c r="F70">
        <v>500</v>
      </c>
      <c r="G70">
        <v>500</v>
      </c>
      <c r="I70">
        <v>1000</v>
      </c>
      <c r="J70">
        <v>0</v>
      </c>
      <c r="K70">
        <v>0</v>
      </c>
      <c r="M70">
        <v>0</v>
      </c>
      <c r="N70">
        <v>3000</v>
      </c>
      <c r="O70">
        <v>3000</v>
      </c>
      <c r="Q70">
        <v>6000</v>
      </c>
      <c r="R70">
        <v>0</v>
      </c>
      <c r="S70">
        <v>0</v>
      </c>
      <c r="U70">
        <v>0</v>
      </c>
    </row>
    <row r="71" spans="1:21" hidden="1" x14ac:dyDescent="0.3">
      <c r="A71" t="s">
        <v>114</v>
      </c>
      <c r="B71" t="s">
        <v>40</v>
      </c>
      <c r="C71" t="s">
        <v>51</v>
      </c>
      <c r="D71" t="s">
        <v>47</v>
      </c>
      <c r="E71" t="s">
        <v>56</v>
      </c>
      <c r="F71">
        <v>12</v>
      </c>
      <c r="G71">
        <v>13</v>
      </c>
      <c r="I71">
        <v>25</v>
      </c>
      <c r="J71">
        <v>0</v>
      </c>
      <c r="K71">
        <v>0</v>
      </c>
      <c r="M71">
        <v>0</v>
      </c>
      <c r="N71">
        <v>72</v>
      </c>
      <c r="O71">
        <v>78</v>
      </c>
      <c r="Q71">
        <v>150</v>
      </c>
      <c r="R71">
        <v>0</v>
      </c>
      <c r="S71">
        <v>0</v>
      </c>
      <c r="U71">
        <v>0</v>
      </c>
    </row>
    <row r="72" spans="1:21" hidden="1" x14ac:dyDescent="0.3">
      <c r="A72" t="s">
        <v>114</v>
      </c>
      <c r="B72" t="s">
        <v>40</v>
      </c>
      <c r="C72" t="s">
        <v>52</v>
      </c>
      <c r="D72" t="s">
        <v>47</v>
      </c>
      <c r="E72" t="s">
        <v>56</v>
      </c>
      <c r="F72">
        <v>410</v>
      </c>
      <c r="G72">
        <v>290</v>
      </c>
      <c r="I72">
        <v>700</v>
      </c>
      <c r="J72">
        <v>0</v>
      </c>
      <c r="K72">
        <v>0</v>
      </c>
      <c r="M72">
        <v>0</v>
      </c>
      <c r="N72">
        <v>2460</v>
      </c>
      <c r="O72">
        <v>1740</v>
      </c>
      <c r="Q72">
        <v>4200</v>
      </c>
      <c r="R72">
        <v>0</v>
      </c>
      <c r="S72">
        <v>0</v>
      </c>
      <c r="U72">
        <v>0</v>
      </c>
    </row>
    <row r="73" spans="1:21" hidden="1" x14ac:dyDescent="0.3">
      <c r="A73" t="s">
        <v>114</v>
      </c>
      <c r="B73" t="s">
        <v>40</v>
      </c>
      <c r="C73" t="s">
        <v>51</v>
      </c>
      <c r="D73" t="s">
        <v>47</v>
      </c>
      <c r="E73" t="s">
        <v>56</v>
      </c>
      <c r="F73">
        <v>410</v>
      </c>
      <c r="G73">
        <v>290</v>
      </c>
      <c r="I73">
        <v>700</v>
      </c>
      <c r="J73">
        <v>0</v>
      </c>
      <c r="K73">
        <v>0</v>
      </c>
      <c r="M73">
        <v>0</v>
      </c>
      <c r="N73">
        <v>2460</v>
      </c>
      <c r="O73">
        <v>1740</v>
      </c>
      <c r="Q73">
        <v>4200</v>
      </c>
      <c r="R73">
        <v>0</v>
      </c>
      <c r="S73">
        <v>0</v>
      </c>
      <c r="U73">
        <v>0</v>
      </c>
    </row>
    <row r="74" spans="1:21" hidden="1" x14ac:dyDescent="0.3">
      <c r="A74" t="s">
        <v>114</v>
      </c>
      <c r="B74" t="s">
        <v>40</v>
      </c>
      <c r="C74" t="s">
        <v>53</v>
      </c>
      <c r="D74" t="s">
        <v>47</v>
      </c>
      <c r="E74" t="s">
        <v>56</v>
      </c>
      <c r="F74">
        <v>300</v>
      </c>
      <c r="G74">
        <v>0</v>
      </c>
      <c r="I74">
        <v>300</v>
      </c>
      <c r="J74">
        <v>0</v>
      </c>
      <c r="K74">
        <v>0</v>
      </c>
      <c r="M74">
        <v>0</v>
      </c>
      <c r="N74">
        <v>1800</v>
      </c>
      <c r="O74">
        <v>0</v>
      </c>
      <c r="Q74">
        <v>1800</v>
      </c>
      <c r="R74">
        <v>0</v>
      </c>
      <c r="S74">
        <v>0</v>
      </c>
      <c r="U74">
        <v>0</v>
      </c>
    </row>
    <row r="75" spans="1:21" hidden="1" x14ac:dyDescent="0.3">
      <c r="A75" t="s">
        <v>114</v>
      </c>
      <c r="B75" t="s">
        <v>40</v>
      </c>
      <c r="C75" t="s">
        <v>54</v>
      </c>
      <c r="D75" t="s">
        <v>47</v>
      </c>
      <c r="E75" t="s">
        <v>56</v>
      </c>
      <c r="F75">
        <v>240</v>
      </c>
      <c r="G75">
        <v>135</v>
      </c>
      <c r="I75">
        <v>375</v>
      </c>
      <c r="J75">
        <v>0</v>
      </c>
      <c r="K75">
        <v>0</v>
      </c>
      <c r="M75">
        <v>0</v>
      </c>
      <c r="N75">
        <v>1440</v>
      </c>
      <c r="O75">
        <v>810</v>
      </c>
      <c r="Q75">
        <v>2250</v>
      </c>
      <c r="R75">
        <v>0</v>
      </c>
      <c r="S75">
        <v>0</v>
      </c>
      <c r="U75">
        <v>0</v>
      </c>
    </row>
    <row r="76" spans="1:21" hidden="1" x14ac:dyDescent="0.3">
      <c r="A76" t="s">
        <v>114</v>
      </c>
      <c r="B76" t="s">
        <v>40</v>
      </c>
      <c r="C76" t="s">
        <v>54</v>
      </c>
      <c r="D76" t="s">
        <v>47</v>
      </c>
      <c r="E76" t="s">
        <v>56</v>
      </c>
      <c r="F76">
        <v>100</v>
      </c>
      <c r="G76">
        <v>0</v>
      </c>
      <c r="I76">
        <v>100</v>
      </c>
      <c r="J76">
        <v>0</v>
      </c>
      <c r="K76">
        <v>0</v>
      </c>
      <c r="M76">
        <v>0</v>
      </c>
      <c r="N76">
        <v>600</v>
      </c>
      <c r="O76">
        <v>0</v>
      </c>
      <c r="Q76">
        <v>600</v>
      </c>
      <c r="R76">
        <v>0</v>
      </c>
      <c r="S76">
        <v>0</v>
      </c>
      <c r="U76">
        <v>0</v>
      </c>
    </row>
    <row r="77" spans="1:21" hidden="1" x14ac:dyDescent="0.3">
      <c r="A77" t="s">
        <v>114</v>
      </c>
      <c r="B77" t="s">
        <v>40</v>
      </c>
      <c r="C77" t="s">
        <v>46</v>
      </c>
      <c r="D77" t="s">
        <v>47</v>
      </c>
      <c r="E77" t="s">
        <v>56</v>
      </c>
      <c r="F77">
        <v>8</v>
      </c>
      <c r="G77">
        <v>12</v>
      </c>
      <c r="I77">
        <v>20</v>
      </c>
      <c r="J77">
        <v>8</v>
      </c>
      <c r="K77">
        <v>12</v>
      </c>
      <c r="M77">
        <v>20</v>
      </c>
      <c r="N77">
        <v>48</v>
      </c>
      <c r="O77">
        <v>72</v>
      </c>
      <c r="Q77">
        <v>120</v>
      </c>
      <c r="R77">
        <v>48</v>
      </c>
      <c r="S77">
        <v>72</v>
      </c>
      <c r="U77">
        <v>120</v>
      </c>
    </row>
    <row r="78" spans="1:21" hidden="1" x14ac:dyDescent="0.3">
      <c r="A78" t="s">
        <v>114</v>
      </c>
      <c r="B78" t="s">
        <v>40</v>
      </c>
      <c r="C78" t="s">
        <v>55</v>
      </c>
      <c r="D78" t="s">
        <v>47</v>
      </c>
      <c r="E78" t="s">
        <v>56</v>
      </c>
      <c r="F78">
        <v>900</v>
      </c>
      <c r="G78">
        <v>700</v>
      </c>
      <c r="I78">
        <v>1600</v>
      </c>
      <c r="J78">
        <v>900</v>
      </c>
      <c r="K78">
        <v>700</v>
      </c>
      <c r="M78">
        <v>1600</v>
      </c>
      <c r="N78">
        <v>5400</v>
      </c>
      <c r="O78">
        <v>4200</v>
      </c>
      <c r="Q78">
        <v>9600</v>
      </c>
      <c r="R78">
        <v>5400</v>
      </c>
      <c r="S78">
        <v>4200</v>
      </c>
      <c r="U78">
        <v>9600</v>
      </c>
    </row>
    <row r="79" spans="1:21" hidden="1" x14ac:dyDescent="0.3">
      <c r="A79" t="s">
        <v>114</v>
      </c>
      <c r="B79" t="s">
        <v>59</v>
      </c>
      <c r="C79" t="s">
        <v>52</v>
      </c>
      <c r="D79" t="s">
        <v>42</v>
      </c>
      <c r="E79" t="s">
        <v>13</v>
      </c>
      <c r="F79">
        <v>2120</v>
      </c>
      <c r="G79">
        <v>3180</v>
      </c>
      <c r="I79">
        <v>5300</v>
      </c>
      <c r="J79">
        <v>2120</v>
      </c>
      <c r="K79">
        <v>3180</v>
      </c>
      <c r="M79">
        <v>5300</v>
      </c>
      <c r="N79">
        <v>12720</v>
      </c>
      <c r="O79">
        <v>57240</v>
      </c>
      <c r="Q79">
        <v>69960</v>
      </c>
      <c r="R79">
        <v>12720</v>
      </c>
      <c r="S79">
        <v>57240</v>
      </c>
      <c r="U79">
        <v>69960</v>
      </c>
    </row>
    <row r="80" spans="1:21" hidden="1" x14ac:dyDescent="0.3">
      <c r="A80" t="s">
        <v>114</v>
      </c>
      <c r="B80" t="s">
        <v>59</v>
      </c>
      <c r="C80" t="s">
        <v>51</v>
      </c>
      <c r="D80" t="s">
        <v>42</v>
      </c>
      <c r="E80" t="s">
        <v>13</v>
      </c>
      <c r="F80">
        <v>720</v>
      </c>
      <c r="G80">
        <v>1080</v>
      </c>
      <c r="I80">
        <v>1800</v>
      </c>
      <c r="J80">
        <v>720</v>
      </c>
      <c r="K80">
        <v>1080</v>
      </c>
      <c r="M80">
        <v>1800</v>
      </c>
      <c r="N80">
        <v>4320</v>
      </c>
      <c r="O80">
        <v>19440</v>
      </c>
      <c r="Q80">
        <v>23760</v>
      </c>
      <c r="R80">
        <v>4320</v>
      </c>
      <c r="S80">
        <v>19440</v>
      </c>
      <c r="U80">
        <v>23760</v>
      </c>
    </row>
    <row r="81" spans="1:21" hidden="1" x14ac:dyDescent="0.3">
      <c r="A81" t="s">
        <v>114</v>
      </c>
      <c r="B81" t="s">
        <v>59</v>
      </c>
      <c r="C81" t="s">
        <v>35</v>
      </c>
      <c r="D81" t="s">
        <v>42</v>
      </c>
      <c r="E81" t="s">
        <v>13</v>
      </c>
      <c r="F81">
        <v>200</v>
      </c>
      <c r="G81">
        <v>300</v>
      </c>
      <c r="I81">
        <v>500</v>
      </c>
      <c r="J81">
        <v>200</v>
      </c>
      <c r="K81">
        <v>300</v>
      </c>
      <c r="M81">
        <v>500</v>
      </c>
      <c r="N81">
        <v>1200</v>
      </c>
      <c r="O81">
        <v>5400</v>
      </c>
      <c r="Q81">
        <v>6600</v>
      </c>
      <c r="R81">
        <v>1200</v>
      </c>
      <c r="S81">
        <v>5400</v>
      </c>
      <c r="U81">
        <v>6600</v>
      </c>
    </row>
    <row r="82" spans="1:21" hidden="1" x14ac:dyDescent="0.3">
      <c r="A82" t="s">
        <v>114</v>
      </c>
      <c r="B82" t="s">
        <v>59</v>
      </c>
      <c r="C82" t="s">
        <v>46</v>
      </c>
      <c r="D82" t="s">
        <v>42</v>
      </c>
      <c r="E82" t="s">
        <v>13</v>
      </c>
      <c r="F82">
        <v>30</v>
      </c>
      <c r="G82">
        <v>45</v>
      </c>
      <c r="I82">
        <v>75</v>
      </c>
      <c r="J82">
        <v>30</v>
      </c>
      <c r="K82">
        <v>45</v>
      </c>
      <c r="M82">
        <v>75</v>
      </c>
      <c r="N82">
        <v>180</v>
      </c>
      <c r="O82">
        <v>810</v>
      </c>
      <c r="Q82">
        <v>990</v>
      </c>
      <c r="R82">
        <v>180</v>
      </c>
      <c r="S82">
        <v>810</v>
      </c>
      <c r="U82">
        <v>990</v>
      </c>
    </row>
    <row r="83" spans="1:21" hidden="1" x14ac:dyDescent="0.3">
      <c r="A83" t="s">
        <v>114</v>
      </c>
      <c r="B83" t="s">
        <v>59</v>
      </c>
      <c r="C83" t="s">
        <v>54</v>
      </c>
      <c r="D83" t="s">
        <v>42</v>
      </c>
      <c r="E83" t="s">
        <v>13</v>
      </c>
      <c r="F83">
        <v>555</v>
      </c>
      <c r="G83">
        <v>832</v>
      </c>
      <c r="I83">
        <v>1387</v>
      </c>
      <c r="J83">
        <v>555</v>
      </c>
      <c r="K83">
        <v>832</v>
      </c>
      <c r="M83">
        <v>1387</v>
      </c>
      <c r="N83">
        <v>3328.8</v>
      </c>
      <c r="O83">
        <v>14978.880000000001</v>
      </c>
      <c r="Q83">
        <v>18307.68</v>
      </c>
      <c r="R83">
        <v>3328.8</v>
      </c>
      <c r="S83">
        <v>14978.880000000001</v>
      </c>
      <c r="U83">
        <v>18307.68</v>
      </c>
    </row>
    <row r="84" spans="1:21" hidden="1" x14ac:dyDescent="0.3">
      <c r="A84" t="s">
        <v>114</v>
      </c>
      <c r="B84" t="s">
        <v>59</v>
      </c>
      <c r="C84" t="s">
        <v>52</v>
      </c>
      <c r="D84" t="s">
        <v>42</v>
      </c>
      <c r="E84" t="s">
        <v>60</v>
      </c>
      <c r="F84">
        <v>2120</v>
      </c>
      <c r="G84">
        <v>3180</v>
      </c>
      <c r="I84">
        <v>5300</v>
      </c>
      <c r="J84">
        <v>2120</v>
      </c>
      <c r="K84">
        <v>3180</v>
      </c>
      <c r="M84">
        <v>5300</v>
      </c>
      <c r="N84">
        <v>12720</v>
      </c>
      <c r="O84">
        <v>57240</v>
      </c>
      <c r="Q84">
        <v>69960</v>
      </c>
      <c r="R84">
        <v>12720</v>
      </c>
      <c r="S84">
        <v>57240</v>
      </c>
      <c r="U84">
        <v>69960</v>
      </c>
    </row>
    <row r="85" spans="1:21" hidden="1" x14ac:dyDescent="0.3">
      <c r="A85" t="s">
        <v>114</v>
      </c>
      <c r="B85" t="s">
        <v>59</v>
      </c>
      <c r="C85" t="s">
        <v>51</v>
      </c>
      <c r="D85" t="s">
        <v>42</v>
      </c>
      <c r="E85" t="s">
        <v>60</v>
      </c>
      <c r="F85">
        <v>720</v>
      </c>
      <c r="G85">
        <v>1080</v>
      </c>
      <c r="I85">
        <v>1800</v>
      </c>
      <c r="J85">
        <v>720</v>
      </c>
      <c r="K85">
        <v>1080</v>
      </c>
      <c r="M85">
        <v>1800</v>
      </c>
      <c r="N85">
        <v>4320</v>
      </c>
      <c r="O85">
        <v>19440</v>
      </c>
      <c r="Q85">
        <v>23760</v>
      </c>
      <c r="R85">
        <v>4320</v>
      </c>
      <c r="S85">
        <v>19440</v>
      </c>
      <c r="U85">
        <v>23760</v>
      </c>
    </row>
    <row r="86" spans="1:21" hidden="1" x14ac:dyDescent="0.3">
      <c r="A86" t="s">
        <v>114</v>
      </c>
      <c r="B86" t="s">
        <v>59</v>
      </c>
      <c r="C86" t="s">
        <v>35</v>
      </c>
      <c r="D86" t="s">
        <v>42</v>
      </c>
      <c r="E86" t="s">
        <v>60</v>
      </c>
      <c r="F86">
        <v>200</v>
      </c>
      <c r="G86">
        <v>300</v>
      </c>
      <c r="I86">
        <v>500</v>
      </c>
      <c r="J86">
        <v>200</v>
      </c>
      <c r="K86">
        <v>300</v>
      </c>
      <c r="M86">
        <v>500</v>
      </c>
      <c r="N86">
        <v>1200</v>
      </c>
      <c r="O86">
        <v>5400</v>
      </c>
      <c r="Q86">
        <v>6600</v>
      </c>
      <c r="R86">
        <v>1200</v>
      </c>
      <c r="S86">
        <v>5400</v>
      </c>
      <c r="U86">
        <v>6600</v>
      </c>
    </row>
    <row r="87" spans="1:21" hidden="1" x14ac:dyDescent="0.3">
      <c r="A87" t="s">
        <v>114</v>
      </c>
      <c r="B87" t="s">
        <v>59</v>
      </c>
      <c r="C87" t="s">
        <v>46</v>
      </c>
      <c r="D87" t="s">
        <v>42</v>
      </c>
      <c r="E87" t="s">
        <v>60</v>
      </c>
      <c r="F87">
        <v>30</v>
      </c>
      <c r="G87">
        <v>45</v>
      </c>
      <c r="I87">
        <v>75</v>
      </c>
      <c r="J87">
        <v>30</v>
      </c>
      <c r="K87">
        <v>45</v>
      </c>
      <c r="M87">
        <v>75</v>
      </c>
      <c r="N87">
        <v>180</v>
      </c>
      <c r="O87">
        <v>810</v>
      </c>
      <c r="Q87">
        <v>990</v>
      </c>
      <c r="R87">
        <v>180</v>
      </c>
      <c r="S87">
        <v>810</v>
      </c>
      <c r="U87">
        <v>990</v>
      </c>
    </row>
    <row r="88" spans="1:21" hidden="1" x14ac:dyDescent="0.3">
      <c r="A88" t="s">
        <v>114</v>
      </c>
      <c r="B88" t="s">
        <v>59</v>
      </c>
      <c r="C88" t="s">
        <v>54</v>
      </c>
      <c r="D88" t="s">
        <v>42</v>
      </c>
      <c r="E88" t="s">
        <v>60</v>
      </c>
      <c r="F88">
        <v>555</v>
      </c>
      <c r="G88">
        <v>832</v>
      </c>
      <c r="I88">
        <v>1387</v>
      </c>
      <c r="J88">
        <v>555</v>
      </c>
      <c r="K88">
        <v>832</v>
      </c>
      <c r="M88">
        <v>1387</v>
      </c>
      <c r="N88">
        <v>3328.8</v>
      </c>
      <c r="O88">
        <v>14978.880000000001</v>
      </c>
      <c r="Q88">
        <v>18307.68</v>
      </c>
      <c r="R88">
        <v>3328.8</v>
      </c>
      <c r="S88">
        <v>14978.880000000001</v>
      </c>
      <c r="U88">
        <v>18307.68</v>
      </c>
    </row>
    <row r="89" spans="1:21" hidden="1" x14ac:dyDescent="0.3">
      <c r="A89" t="s">
        <v>114</v>
      </c>
      <c r="B89" t="s">
        <v>59</v>
      </c>
      <c r="C89" t="s">
        <v>52</v>
      </c>
      <c r="D89" t="s">
        <v>47</v>
      </c>
      <c r="E89" t="s">
        <v>48</v>
      </c>
      <c r="F89">
        <v>2120</v>
      </c>
      <c r="G89">
        <v>3180</v>
      </c>
      <c r="I89">
        <v>5300</v>
      </c>
      <c r="J89">
        <v>2120</v>
      </c>
      <c r="K89">
        <v>3180</v>
      </c>
      <c r="M89">
        <v>5300</v>
      </c>
      <c r="N89">
        <v>12720</v>
      </c>
      <c r="O89">
        <v>57240</v>
      </c>
      <c r="Q89">
        <v>69960</v>
      </c>
      <c r="R89">
        <v>12720</v>
      </c>
      <c r="S89">
        <v>57240</v>
      </c>
      <c r="U89">
        <v>69960</v>
      </c>
    </row>
    <row r="90" spans="1:21" hidden="1" x14ac:dyDescent="0.3">
      <c r="A90" t="s">
        <v>114</v>
      </c>
      <c r="B90" t="s">
        <v>59</v>
      </c>
      <c r="C90" t="s">
        <v>51</v>
      </c>
      <c r="D90" t="s">
        <v>47</v>
      </c>
      <c r="E90" t="s">
        <v>48</v>
      </c>
      <c r="F90">
        <v>720</v>
      </c>
      <c r="G90">
        <v>1080</v>
      </c>
      <c r="I90">
        <v>1800</v>
      </c>
      <c r="J90">
        <v>720</v>
      </c>
      <c r="K90">
        <v>1080</v>
      </c>
      <c r="M90">
        <v>1800</v>
      </c>
      <c r="N90">
        <v>4320</v>
      </c>
      <c r="O90">
        <v>19440</v>
      </c>
      <c r="Q90">
        <v>23760</v>
      </c>
      <c r="R90">
        <v>4320</v>
      </c>
      <c r="S90">
        <v>19440</v>
      </c>
      <c r="U90">
        <v>23760</v>
      </c>
    </row>
    <row r="91" spans="1:21" hidden="1" x14ac:dyDescent="0.3">
      <c r="A91" t="s">
        <v>114</v>
      </c>
      <c r="B91" t="s">
        <v>59</v>
      </c>
      <c r="C91" t="s">
        <v>35</v>
      </c>
      <c r="D91" t="s">
        <v>47</v>
      </c>
      <c r="E91" t="s">
        <v>48</v>
      </c>
      <c r="F91">
        <v>200</v>
      </c>
      <c r="G91">
        <v>300</v>
      </c>
      <c r="I91">
        <v>500</v>
      </c>
      <c r="J91">
        <v>200</v>
      </c>
      <c r="K91">
        <v>300</v>
      </c>
      <c r="M91">
        <v>500</v>
      </c>
      <c r="N91">
        <v>1200</v>
      </c>
      <c r="O91">
        <v>5400</v>
      </c>
      <c r="Q91">
        <v>6600</v>
      </c>
      <c r="R91">
        <v>1200</v>
      </c>
      <c r="S91">
        <v>5400</v>
      </c>
      <c r="U91">
        <v>6600</v>
      </c>
    </row>
    <row r="92" spans="1:21" hidden="1" x14ac:dyDescent="0.3">
      <c r="A92" t="s">
        <v>114</v>
      </c>
      <c r="B92" t="s">
        <v>59</v>
      </c>
      <c r="C92" t="s">
        <v>46</v>
      </c>
      <c r="D92" t="s">
        <v>47</v>
      </c>
      <c r="E92" t="s">
        <v>48</v>
      </c>
      <c r="F92">
        <v>30</v>
      </c>
      <c r="G92">
        <v>45</v>
      </c>
      <c r="I92">
        <v>75</v>
      </c>
      <c r="J92">
        <v>30</v>
      </c>
      <c r="K92">
        <v>45</v>
      </c>
      <c r="M92">
        <v>75</v>
      </c>
      <c r="N92">
        <v>180</v>
      </c>
      <c r="O92">
        <v>810</v>
      </c>
      <c r="Q92">
        <v>990</v>
      </c>
      <c r="R92">
        <v>180</v>
      </c>
      <c r="S92">
        <v>810</v>
      </c>
      <c r="U92">
        <v>990</v>
      </c>
    </row>
    <row r="93" spans="1:21" hidden="1" x14ac:dyDescent="0.3">
      <c r="A93" t="s">
        <v>114</v>
      </c>
      <c r="B93" t="s">
        <v>59</v>
      </c>
      <c r="C93" t="s">
        <v>54</v>
      </c>
      <c r="D93" t="s">
        <v>47</v>
      </c>
      <c r="E93" t="s">
        <v>48</v>
      </c>
      <c r="F93">
        <v>555</v>
      </c>
      <c r="G93">
        <v>832</v>
      </c>
      <c r="I93">
        <v>1387</v>
      </c>
      <c r="J93">
        <v>555</v>
      </c>
      <c r="K93">
        <v>832</v>
      </c>
      <c r="M93">
        <v>1387</v>
      </c>
      <c r="N93">
        <v>3328.8</v>
      </c>
      <c r="O93">
        <v>14978.880000000001</v>
      </c>
      <c r="Q93">
        <v>18307.68</v>
      </c>
      <c r="R93">
        <v>3328.8</v>
      </c>
      <c r="S93">
        <v>14978.880000000001</v>
      </c>
      <c r="U93">
        <v>18307.68</v>
      </c>
    </row>
    <row r="94" spans="1:21" hidden="1" x14ac:dyDescent="0.3">
      <c r="A94" t="s">
        <v>114</v>
      </c>
      <c r="B94" t="s">
        <v>59</v>
      </c>
      <c r="C94" t="s">
        <v>52</v>
      </c>
      <c r="D94" t="s">
        <v>47</v>
      </c>
      <c r="E94" t="s">
        <v>61</v>
      </c>
      <c r="F94">
        <v>2120</v>
      </c>
      <c r="G94">
        <v>3180</v>
      </c>
      <c r="I94">
        <v>5300</v>
      </c>
      <c r="J94">
        <v>2120</v>
      </c>
      <c r="K94">
        <v>3180</v>
      </c>
      <c r="M94">
        <v>5300</v>
      </c>
      <c r="N94">
        <v>12720</v>
      </c>
      <c r="O94">
        <v>57240</v>
      </c>
      <c r="Q94">
        <v>69960</v>
      </c>
      <c r="R94">
        <v>12720</v>
      </c>
      <c r="S94">
        <v>57240</v>
      </c>
      <c r="U94">
        <v>69960</v>
      </c>
    </row>
    <row r="95" spans="1:21" hidden="1" x14ac:dyDescent="0.3">
      <c r="A95" t="s">
        <v>114</v>
      </c>
      <c r="B95" t="s">
        <v>59</v>
      </c>
      <c r="C95" t="s">
        <v>51</v>
      </c>
      <c r="D95" t="s">
        <v>47</v>
      </c>
      <c r="E95" t="s">
        <v>61</v>
      </c>
      <c r="F95">
        <v>720</v>
      </c>
      <c r="G95">
        <v>1080</v>
      </c>
      <c r="I95">
        <v>1800</v>
      </c>
      <c r="J95">
        <v>720</v>
      </c>
      <c r="K95">
        <v>1080</v>
      </c>
      <c r="M95">
        <v>1800</v>
      </c>
      <c r="N95">
        <v>4320</v>
      </c>
      <c r="O95">
        <v>19440</v>
      </c>
      <c r="Q95">
        <v>23760</v>
      </c>
      <c r="R95">
        <v>4320</v>
      </c>
      <c r="S95">
        <v>19440</v>
      </c>
      <c r="U95">
        <v>23760</v>
      </c>
    </row>
    <row r="96" spans="1:21" hidden="1" x14ac:dyDescent="0.3">
      <c r="A96" t="s">
        <v>114</v>
      </c>
      <c r="B96" t="s">
        <v>59</v>
      </c>
      <c r="C96" t="s">
        <v>35</v>
      </c>
      <c r="D96" t="s">
        <v>47</v>
      </c>
      <c r="E96" t="s">
        <v>61</v>
      </c>
      <c r="F96">
        <v>200</v>
      </c>
      <c r="G96">
        <v>300</v>
      </c>
      <c r="I96">
        <v>500</v>
      </c>
      <c r="J96">
        <v>200</v>
      </c>
      <c r="K96">
        <v>300</v>
      </c>
      <c r="M96">
        <v>500</v>
      </c>
      <c r="N96">
        <v>1200</v>
      </c>
      <c r="O96">
        <v>5400</v>
      </c>
      <c r="Q96">
        <v>6600</v>
      </c>
      <c r="R96">
        <v>1200</v>
      </c>
      <c r="S96">
        <v>5400</v>
      </c>
      <c r="U96">
        <v>6600</v>
      </c>
    </row>
    <row r="97" spans="1:21" hidden="1" x14ac:dyDescent="0.3">
      <c r="A97" t="s">
        <v>114</v>
      </c>
      <c r="B97" t="s">
        <v>59</v>
      </c>
      <c r="C97" t="s">
        <v>46</v>
      </c>
      <c r="D97" t="s">
        <v>47</v>
      </c>
      <c r="E97" t="s">
        <v>61</v>
      </c>
      <c r="F97">
        <v>30</v>
      </c>
      <c r="G97">
        <v>45</v>
      </c>
      <c r="I97">
        <v>75</v>
      </c>
      <c r="J97">
        <v>30</v>
      </c>
      <c r="K97">
        <v>45</v>
      </c>
      <c r="M97">
        <v>75</v>
      </c>
      <c r="N97">
        <v>180</v>
      </c>
      <c r="O97">
        <v>810</v>
      </c>
      <c r="Q97">
        <v>990</v>
      </c>
      <c r="R97">
        <v>180</v>
      </c>
      <c r="S97">
        <v>810</v>
      </c>
      <c r="U97">
        <v>990</v>
      </c>
    </row>
    <row r="98" spans="1:21" hidden="1" x14ac:dyDescent="0.3">
      <c r="A98" t="s">
        <v>114</v>
      </c>
      <c r="B98" t="s">
        <v>59</v>
      </c>
      <c r="C98" t="s">
        <v>54</v>
      </c>
      <c r="D98" t="s">
        <v>47</v>
      </c>
      <c r="E98" t="s">
        <v>61</v>
      </c>
      <c r="F98">
        <v>555</v>
      </c>
      <c r="G98">
        <v>832</v>
      </c>
      <c r="I98">
        <v>1387</v>
      </c>
      <c r="J98">
        <v>555</v>
      </c>
      <c r="K98">
        <v>832</v>
      </c>
      <c r="M98">
        <v>1387</v>
      </c>
      <c r="N98">
        <v>3328.8</v>
      </c>
      <c r="O98">
        <v>14978.880000000001</v>
      </c>
      <c r="Q98">
        <v>18307.68</v>
      </c>
      <c r="R98">
        <v>3328.8</v>
      </c>
      <c r="S98">
        <v>14978.880000000001</v>
      </c>
      <c r="U98">
        <v>18307.68</v>
      </c>
    </row>
    <row r="99" spans="1:21" hidden="1" x14ac:dyDescent="0.3">
      <c r="A99" t="s">
        <v>114</v>
      </c>
      <c r="B99" t="s">
        <v>59</v>
      </c>
      <c r="C99" t="s">
        <v>52</v>
      </c>
      <c r="D99" t="s">
        <v>62</v>
      </c>
      <c r="E99" t="s">
        <v>63</v>
      </c>
      <c r="F99">
        <v>2120</v>
      </c>
      <c r="G99">
        <v>3180</v>
      </c>
      <c r="I99">
        <v>5300</v>
      </c>
      <c r="J99">
        <v>2120</v>
      </c>
      <c r="K99">
        <v>3180</v>
      </c>
      <c r="M99">
        <v>5300</v>
      </c>
      <c r="N99">
        <v>12720</v>
      </c>
      <c r="O99">
        <v>57240</v>
      </c>
      <c r="Q99">
        <v>69960</v>
      </c>
      <c r="R99">
        <v>12720</v>
      </c>
      <c r="S99">
        <v>57240</v>
      </c>
      <c r="U99">
        <v>69960</v>
      </c>
    </row>
    <row r="100" spans="1:21" hidden="1" x14ac:dyDescent="0.3">
      <c r="A100" t="s">
        <v>114</v>
      </c>
      <c r="B100" t="s">
        <v>59</v>
      </c>
      <c r="C100" t="s">
        <v>51</v>
      </c>
      <c r="D100" t="s">
        <v>62</v>
      </c>
      <c r="E100" t="s">
        <v>63</v>
      </c>
      <c r="F100">
        <v>720</v>
      </c>
      <c r="G100">
        <v>1080</v>
      </c>
      <c r="I100">
        <v>1800</v>
      </c>
      <c r="J100">
        <v>720</v>
      </c>
      <c r="K100">
        <v>1080</v>
      </c>
      <c r="M100">
        <v>1800</v>
      </c>
      <c r="N100">
        <v>4320</v>
      </c>
      <c r="O100">
        <v>19440</v>
      </c>
      <c r="Q100">
        <v>23760</v>
      </c>
      <c r="R100">
        <v>4320</v>
      </c>
      <c r="S100">
        <v>19440</v>
      </c>
      <c r="U100">
        <v>23760</v>
      </c>
    </row>
    <row r="101" spans="1:21" hidden="1" x14ac:dyDescent="0.3">
      <c r="A101" t="s">
        <v>114</v>
      </c>
      <c r="B101" t="s">
        <v>59</v>
      </c>
      <c r="C101" t="s">
        <v>35</v>
      </c>
      <c r="D101" t="s">
        <v>62</v>
      </c>
      <c r="E101" t="s">
        <v>63</v>
      </c>
      <c r="F101">
        <v>200</v>
      </c>
      <c r="G101">
        <v>300</v>
      </c>
      <c r="I101">
        <v>500</v>
      </c>
      <c r="J101">
        <v>200</v>
      </c>
      <c r="K101">
        <v>300</v>
      </c>
      <c r="M101">
        <v>500</v>
      </c>
      <c r="N101">
        <v>1200</v>
      </c>
      <c r="O101">
        <v>5400</v>
      </c>
      <c r="Q101">
        <v>6600</v>
      </c>
      <c r="R101">
        <v>1200</v>
      </c>
      <c r="S101">
        <v>5400</v>
      </c>
      <c r="U101">
        <v>6600</v>
      </c>
    </row>
    <row r="102" spans="1:21" hidden="1" x14ac:dyDescent="0.3">
      <c r="A102" t="s">
        <v>114</v>
      </c>
      <c r="B102" t="s">
        <v>59</v>
      </c>
      <c r="C102" t="s">
        <v>46</v>
      </c>
      <c r="D102" t="s">
        <v>62</v>
      </c>
      <c r="E102" t="s">
        <v>63</v>
      </c>
      <c r="F102">
        <v>30</v>
      </c>
      <c r="G102">
        <v>45</v>
      </c>
      <c r="I102">
        <v>75</v>
      </c>
      <c r="J102">
        <v>30</v>
      </c>
      <c r="K102">
        <v>45</v>
      </c>
      <c r="M102">
        <v>75</v>
      </c>
      <c r="N102">
        <v>180</v>
      </c>
      <c r="O102">
        <v>810</v>
      </c>
      <c r="Q102">
        <v>990</v>
      </c>
      <c r="R102">
        <v>180</v>
      </c>
      <c r="S102">
        <v>810</v>
      </c>
      <c r="U102">
        <v>990</v>
      </c>
    </row>
    <row r="103" spans="1:21" hidden="1" x14ac:dyDescent="0.3">
      <c r="A103" t="s">
        <v>114</v>
      </c>
      <c r="B103" t="s">
        <v>59</v>
      </c>
      <c r="C103" t="s">
        <v>54</v>
      </c>
      <c r="D103" t="s">
        <v>62</v>
      </c>
      <c r="E103" t="s">
        <v>63</v>
      </c>
      <c r="F103">
        <v>555</v>
      </c>
      <c r="G103">
        <v>832</v>
      </c>
      <c r="I103">
        <v>1387</v>
      </c>
      <c r="J103">
        <v>555</v>
      </c>
      <c r="K103">
        <v>832</v>
      </c>
      <c r="M103">
        <v>1387</v>
      </c>
      <c r="N103">
        <v>3328.8</v>
      </c>
      <c r="O103">
        <v>14978.880000000001</v>
      </c>
      <c r="Q103">
        <v>18307.68</v>
      </c>
      <c r="R103">
        <v>3328.8</v>
      </c>
      <c r="S103">
        <v>14978.880000000001</v>
      </c>
      <c r="U103">
        <v>18307.68</v>
      </c>
    </row>
    <row r="104" spans="1:21" hidden="1" x14ac:dyDescent="0.3">
      <c r="A104" t="s">
        <v>114</v>
      </c>
      <c r="B104" t="s">
        <v>59</v>
      </c>
      <c r="C104" t="s">
        <v>52</v>
      </c>
      <c r="D104" t="s">
        <v>62</v>
      </c>
      <c r="E104" t="s">
        <v>64</v>
      </c>
      <c r="F104">
        <v>2120</v>
      </c>
      <c r="G104">
        <v>3180</v>
      </c>
      <c r="I104">
        <v>5300</v>
      </c>
      <c r="J104">
        <v>2120</v>
      </c>
      <c r="K104">
        <v>3180</v>
      </c>
      <c r="M104">
        <v>5300</v>
      </c>
      <c r="N104">
        <v>12720</v>
      </c>
      <c r="O104">
        <v>57240</v>
      </c>
      <c r="Q104">
        <v>69960</v>
      </c>
      <c r="R104">
        <v>12720</v>
      </c>
      <c r="S104">
        <v>57240</v>
      </c>
      <c r="U104">
        <v>69960</v>
      </c>
    </row>
    <row r="105" spans="1:21" hidden="1" x14ac:dyDescent="0.3">
      <c r="A105" t="s">
        <v>114</v>
      </c>
      <c r="B105" t="s">
        <v>59</v>
      </c>
      <c r="C105" t="s">
        <v>51</v>
      </c>
      <c r="D105" t="s">
        <v>62</v>
      </c>
      <c r="E105" t="s">
        <v>64</v>
      </c>
      <c r="F105">
        <v>720</v>
      </c>
      <c r="G105">
        <v>1080</v>
      </c>
      <c r="I105">
        <v>1800</v>
      </c>
      <c r="J105">
        <v>720</v>
      </c>
      <c r="K105">
        <v>1080</v>
      </c>
      <c r="M105">
        <v>1800</v>
      </c>
      <c r="N105">
        <v>4320</v>
      </c>
      <c r="O105">
        <v>19440</v>
      </c>
      <c r="Q105">
        <v>23760</v>
      </c>
      <c r="R105">
        <v>4320</v>
      </c>
      <c r="S105">
        <v>19440</v>
      </c>
      <c r="U105">
        <v>23760</v>
      </c>
    </row>
    <row r="106" spans="1:21" hidden="1" x14ac:dyDescent="0.3">
      <c r="A106" t="s">
        <v>114</v>
      </c>
      <c r="B106" t="s">
        <v>59</v>
      </c>
      <c r="C106" t="s">
        <v>35</v>
      </c>
      <c r="D106" t="s">
        <v>62</v>
      </c>
      <c r="E106" t="s">
        <v>64</v>
      </c>
      <c r="F106">
        <v>200</v>
      </c>
      <c r="G106">
        <v>300</v>
      </c>
      <c r="I106">
        <v>500</v>
      </c>
      <c r="J106">
        <v>200</v>
      </c>
      <c r="K106">
        <v>300</v>
      </c>
      <c r="M106">
        <v>500</v>
      </c>
      <c r="N106">
        <v>1200</v>
      </c>
      <c r="O106">
        <v>5400</v>
      </c>
      <c r="Q106">
        <v>6600</v>
      </c>
      <c r="R106">
        <v>1200</v>
      </c>
      <c r="S106">
        <v>5400</v>
      </c>
      <c r="U106">
        <v>6600</v>
      </c>
    </row>
    <row r="107" spans="1:21" hidden="1" x14ac:dyDescent="0.3">
      <c r="A107" t="s">
        <v>114</v>
      </c>
      <c r="B107" t="s">
        <v>59</v>
      </c>
      <c r="C107" t="s">
        <v>46</v>
      </c>
      <c r="D107" t="s">
        <v>62</v>
      </c>
      <c r="E107" t="s">
        <v>64</v>
      </c>
      <c r="F107">
        <v>30</v>
      </c>
      <c r="G107">
        <v>45</v>
      </c>
      <c r="I107">
        <v>75</v>
      </c>
      <c r="J107">
        <v>30</v>
      </c>
      <c r="K107">
        <v>45</v>
      </c>
      <c r="M107">
        <v>75</v>
      </c>
      <c r="N107">
        <v>180</v>
      </c>
      <c r="O107">
        <v>810</v>
      </c>
      <c r="Q107">
        <v>990</v>
      </c>
      <c r="R107">
        <v>180</v>
      </c>
      <c r="S107">
        <v>810</v>
      </c>
      <c r="U107">
        <v>990</v>
      </c>
    </row>
    <row r="108" spans="1:21" hidden="1" x14ac:dyDescent="0.3">
      <c r="A108" t="s">
        <v>114</v>
      </c>
      <c r="B108" t="s">
        <v>59</v>
      </c>
      <c r="C108" t="s">
        <v>54</v>
      </c>
      <c r="D108" t="s">
        <v>62</v>
      </c>
      <c r="E108" t="s">
        <v>64</v>
      </c>
      <c r="F108">
        <v>555</v>
      </c>
      <c r="G108">
        <v>832</v>
      </c>
      <c r="I108">
        <v>1387</v>
      </c>
      <c r="J108">
        <v>555</v>
      </c>
      <c r="K108">
        <v>832</v>
      </c>
      <c r="M108">
        <v>1387</v>
      </c>
      <c r="N108">
        <v>3328.8</v>
      </c>
      <c r="O108">
        <v>14978.880000000001</v>
      </c>
      <c r="Q108">
        <v>18307.68</v>
      </c>
      <c r="R108">
        <v>3328.8</v>
      </c>
      <c r="S108">
        <v>14978.880000000001</v>
      </c>
      <c r="U108">
        <v>18307.68</v>
      </c>
    </row>
    <row r="109" spans="1:21" hidden="1" x14ac:dyDescent="0.3">
      <c r="A109" t="s">
        <v>114</v>
      </c>
      <c r="B109" t="s">
        <v>65</v>
      </c>
      <c r="C109" t="s">
        <v>37</v>
      </c>
      <c r="D109" t="s">
        <v>36</v>
      </c>
      <c r="E109" t="s">
        <v>66</v>
      </c>
      <c r="F109">
        <v>51</v>
      </c>
      <c r="G109">
        <v>45</v>
      </c>
      <c r="I109">
        <v>96</v>
      </c>
      <c r="J109">
        <v>0</v>
      </c>
      <c r="K109">
        <v>0</v>
      </c>
      <c r="M109">
        <v>0</v>
      </c>
      <c r="N109">
        <v>337</v>
      </c>
      <c r="O109">
        <v>337</v>
      </c>
      <c r="Q109">
        <v>674</v>
      </c>
      <c r="R109">
        <v>0</v>
      </c>
      <c r="S109">
        <v>0</v>
      </c>
      <c r="U109">
        <v>0</v>
      </c>
    </row>
    <row r="110" spans="1:21" hidden="1" x14ac:dyDescent="0.3">
      <c r="A110" t="s">
        <v>114</v>
      </c>
      <c r="B110" t="s">
        <v>65</v>
      </c>
      <c r="C110" t="s">
        <v>37</v>
      </c>
      <c r="D110" t="s">
        <v>36</v>
      </c>
      <c r="E110" t="s">
        <v>67</v>
      </c>
      <c r="F110">
        <v>45</v>
      </c>
      <c r="G110">
        <v>45</v>
      </c>
      <c r="I110">
        <v>90</v>
      </c>
      <c r="J110">
        <v>0</v>
      </c>
      <c r="K110">
        <v>0</v>
      </c>
      <c r="M110">
        <v>0</v>
      </c>
      <c r="N110">
        <v>1090</v>
      </c>
      <c r="O110">
        <v>1080</v>
      </c>
      <c r="Q110">
        <v>2170</v>
      </c>
      <c r="R110">
        <v>0</v>
      </c>
      <c r="S110">
        <v>0</v>
      </c>
      <c r="U110">
        <v>0</v>
      </c>
    </row>
    <row r="111" spans="1:21" hidden="1" x14ac:dyDescent="0.3">
      <c r="A111" t="s">
        <v>114</v>
      </c>
      <c r="B111" t="s">
        <v>65</v>
      </c>
      <c r="C111" t="s">
        <v>37</v>
      </c>
      <c r="D111" t="s">
        <v>36</v>
      </c>
      <c r="E111" t="s">
        <v>19</v>
      </c>
      <c r="F111">
        <v>25</v>
      </c>
      <c r="G111">
        <v>15</v>
      </c>
      <c r="I111">
        <v>40</v>
      </c>
      <c r="J111">
        <v>0</v>
      </c>
      <c r="K111">
        <v>0</v>
      </c>
      <c r="M111">
        <v>0</v>
      </c>
      <c r="N111">
        <v>50</v>
      </c>
      <c r="O111">
        <v>50</v>
      </c>
      <c r="Q111">
        <v>100</v>
      </c>
      <c r="R111">
        <v>0</v>
      </c>
      <c r="S111">
        <v>0</v>
      </c>
      <c r="U111">
        <v>0</v>
      </c>
    </row>
    <row r="112" spans="1:21" hidden="1" x14ac:dyDescent="0.3">
      <c r="A112" t="s">
        <v>114</v>
      </c>
      <c r="B112" t="s">
        <v>65</v>
      </c>
      <c r="C112" t="s">
        <v>37</v>
      </c>
      <c r="D112" t="s">
        <v>36</v>
      </c>
      <c r="E112" t="s">
        <v>68</v>
      </c>
      <c r="F112">
        <v>20</v>
      </c>
      <c r="G112">
        <v>17</v>
      </c>
      <c r="I112">
        <v>37</v>
      </c>
      <c r="J112">
        <v>0</v>
      </c>
      <c r="K112">
        <v>0</v>
      </c>
      <c r="M112">
        <v>0</v>
      </c>
      <c r="N112">
        <v>283</v>
      </c>
      <c r="O112">
        <v>280</v>
      </c>
      <c r="Q112">
        <v>563</v>
      </c>
      <c r="R112">
        <v>0</v>
      </c>
      <c r="S112">
        <v>0</v>
      </c>
      <c r="U112">
        <v>0</v>
      </c>
    </row>
    <row r="113" spans="1:21" hidden="1" x14ac:dyDescent="0.3">
      <c r="A113" t="s">
        <v>114</v>
      </c>
      <c r="B113" t="s">
        <v>65</v>
      </c>
      <c r="C113" t="s">
        <v>37</v>
      </c>
      <c r="D113" t="s">
        <v>69</v>
      </c>
      <c r="E113" t="s">
        <v>70</v>
      </c>
      <c r="F113">
        <v>85</v>
      </c>
      <c r="G113">
        <v>85</v>
      </c>
      <c r="I113">
        <v>170</v>
      </c>
      <c r="J113">
        <v>0</v>
      </c>
      <c r="K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U113">
        <v>0</v>
      </c>
    </row>
    <row r="114" spans="1:21" hidden="1" x14ac:dyDescent="0.3">
      <c r="A114" t="s">
        <v>114</v>
      </c>
      <c r="B114" t="s">
        <v>65</v>
      </c>
      <c r="C114" t="s">
        <v>37</v>
      </c>
      <c r="D114" t="s">
        <v>69</v>
      </c>
      <c r="E114" t="s">
        <v>71</v>
      </c>
      <c r="F114">
        <v>75</v>
      </c>
      <c r="G114">
        <v>75</v>
      </c>
      <c r="I114">
        <v>150</v>
      </c>
      <c r="J114">
        <v>0</v>
      </c>
      <c r="K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U114">
        <v>0</v>
      </c>
    </row>
    <row r="115" spans="1:21" hidden="1" x14ac:dyDescent="0.3">
      <c r="A115" t="s">
        <v>114</v>
      </c>
      <c r="B115" t="s">
        <v>65</v>
      </c>
      <c r="C115" t="s">
        <v>51</v>
      </c>
      <c r="D115" t="s">
        <v>36</v>
      </c>
      <c r="E115" t="s">
        <v>66</v>
      </c>
      <c r="F115">
        <v>15</v>
      </c>
      <c r="G115">
        <v>15</v>
      </c>
      <c r="I115">
        <v>30</v>
      </c>
      <c r="J115">
        <v>0</v>
      </c>
      <c r="K115">
        <v>0</v>
      </c>
      <c r="M115">
        <v>0</v>
      </c>
      <c r="N115">
        <v>370</v>
      </c>
      <c r="O115">
        <v>370</v>
      </c>
      <c r="Q115">
        <v>740</v>
      </c>
      <c r="R115">
        <v>0</v>
      </c>
      <c r="S115">
        <v>0</v>
      </c>
      <c r="U115">
        <v>0</v>
      </c>
    </row>
    <row r="116" spans="1:21" hidden="1" x14ac:dyDescent="0.3">
      <c r="A116" t="s">
        <v>114</v>
      </c>
      <c r="B116" t="s">
        <v>65</v>
      </c>
      <c r="C116" t="s">
        <v>51</v>
      </c>
      <c r="D116" t="s">
        <v>36</v>
      </c>
      <c r="E116" t="s">
        <v>67</v>
      </c>
      <c r="F116">
        <v>15</v>
      </c>
      <c r="G116">
        <v>15</v>
      </c>
      <c r="I116">
        <v>30</v>
      </c>
      <c r="J116">
        <v>0</v>
      </c>
      <c r="K116">
        <v>0</v>
      </c>
      <c r="M116">
        <v>0</v>
      </c>
      <c r="N116">
        <v>1115</v>
      </c>
      <c r="O116">
        <v>1115</v>
      </c>
      <c r="Q116">
        <v>2230</v>
      </c>
      <c r="R116">
        <v>0</v>
      </c>
      <c r="S116">
        <v>0</v>
      </c>
      <c r="U116">
        <v>0</v>
      </c>
    </row>
    <row r="117" spans="1:21" hidden="1" x14ac:dyDescent="0.3">
      <c r="A117" t="s">
        <v>114</v>
      </c>
      <c r="B117" t="s">
        <v>65</v>
      </c>
      <c r="C117" t="s">
        <v>51</v>
      </c>
      <c r="D117" t="s">
        <v>36</v>
      </c>
      <c r="E117" t="s">
        <v>19</v>
      </c>
      <c r="F117">
        <v>10</v>
      </c>
      <c r="G117">
        <v>10</v>
      </c>
      <c r="I117">
        <v>20</v>
      </c>
      <c r="J117">
        <v>0</v>
      </c>
      <c r="K117">
        <v>0</v>
      </c>
      <c r="M117">
        <v>0</v>
      </c>
      <c r="N117">
        <v>60</v>
      </c>
      <c r="O117">
        <v>60</v>
      </c>
      <c r="Q117">
        <v>120</v>
      </c>
      <c r="R117">
        <v>0</v>
      </c>
      <c r="S117">
        <v>0</v>
      </c>
      <c r="U117">
        <v>0</v>
      </c>
    </row>
    <row r="118" spans="1:21" hidden="1" x14ac:dyDescent="0.3">
      <c r="A118" t="s">
        <v>114</v>
      </c>
      <c r="B118" t="s">
        <v>65</v>
      </c>
      <c r="C118" t="s">
        <v>51</v>
      </c>
      <c r="D118" t="s">
        <v>36</v>
      </c>
      <c r="E118" t="s">
        <v>68</v>
      </c>
      <c r="F118">
        <v>10</v>
      </c>
      <c r="G118">
        <v>10</v>
      </c>
      <c r="I118">
        <v>20</v>
      </c>
      <c r="J118">
        <v>0</v>
      </c>
      <c r="K118">
        <v>0</v>
      </c>
      <c r="M118">
        <v>0</v>
      </c>
      <c r="N118">
        <v>290</v>
      </c>
      <c r="O118">
        <v>290</v>
      </c>
      <c r="Q118">
        <v>580</v>
      </c>
      <c r="R118">
        <v>0</v>
      </c>
      <c r="S118">
        <v>0</v>
      </c>
      <c r="U118">
        <v>0</v>
      </c>
    </row>
    <row r="119" spans="1:21" hidden="1" x14ac:dyDescent="0.3">
      <c r="A119" t="s">
        <v>114</v>
      </c>
      <c r="B119" t="s">
        <v>65</v>
      </c>
      <c r="C119" t="s">
        <v>51</v>
      </c>
      <c r="D119" t="s">
        <v>69</v>
      </c>
      <c r="E119" t="s">
        <v>70</v>
      </c>
      <c r="F119">
        <v>50</v>
      </c>
      <c r="G119">
        <v>50</v>
      </c>
      <c r="I119">
        <v>100</v>
      </c>
      <c r="J119">
        <v>0</v>
      </c>
      <c r="K119">
        <v>0</v>
      </c>
      <c r="M119">
        <v>0</v>
      </c>
      <c r="Q119">
        <v>0</v>
      </c>
      <c r="R119">
        <v>0</v>
      </c>
      <c r="S119">
        <v>0</v>
      </c>
      <c r="U119">
        <v>0</v>
      </c>
    </row>
    <row r="120" spans="1:21" hidden="1" x14ac:dyDescent="0.3">
      <c r="A120" t="s">
        <v>114</v>
      </c>
      <c r="B120" t="s">
        <v>65</v>
      </c>
      <c r="C120" t="s">
        <v>51</v>
      </c>
      <c r="D120" t="s">
        <v>69</v>
      </c>
      <c r="E120" t="s">
        <v>71</v>
      </c>
      <c r="F120">
        <v>50</v>
      </c>
      <c r="G120">
        <v>50</v>
      </c>
      <c r="I120">
        <v>100</v>
      </c>
      <c r="J120">
        <v>0</v>
      </c>
      <c r="K120">
        <v>0</v>
      </c>
      <c r="M120">
        <v>0</v>
      </c>
      <c r="Q120">
        <v>0</v>
      </c>
      <c r="R120">
        <v>0</v>
      </c>
      <c r="S120">
        <v>0</v>
      </c>
      <c r="U120">
        <v>0</v>
      </c>
    </row>
    <row r="121" spans="1:21" hidden="1" x14ac:dyDescent="0.3">
      <c r="A121" t="s">
        <v>114</v>
      </c>
      <c r="B121" t="s">
        <v>65</v>
      </c>
      <c r="C121" t="s">
        <v>46</v>
      </c>
      <c r="D121" t="s">
        <v>36</v>
      </c>
      <c r="E121" t="s">
        <v>66</v>
      </c>
      <c r="F121">
        <v>51</v>
      </c>
      <c r="G121">
        <v>45</v>
      </c>
      <c r="I121">
        <v>96</v>
      </c>
      <c r="J121">
        <v>0</v>
      </c>
      <c r="K121">
        <v>0</v>
      </c>
      <c r="M121">
        <v>0</v>
      </c>
      <c r="N121">
        <v>334</v>
      </c>
      <c r="O121">
        <v>340</v>
      </c>
      <c r="Q121">
        <v>674</v>
      </c>
      <c r="R121">
        <v>0</v>
      </c>
      <c r="S121">
        <v>0</v>
      </c>
      <c r="U121">
        <v>0</v>
      </c>
    </row>
    <row r="122" spans="1:21" hidden="1" x14ac:dyDescent="0.3">
      <c r="A122" t="s">
        <v>114</v>
      </c>
      <c r="B122" t="s">
        <v>65</v>
      </c>
      <c r="C122" t="s">
        <v>46</v>
      </c>
      <c r="D122" t="s">
        <v>36</v>
      </c>
      <c r="E122" t="s">
        <v>67</v>
      </c>
      <c r="F122">
        <v>45</v>
      </c>
      <c r="G122">
        <v>45</v>
      </c>
      <c r="I122">
        <v>90</v>
      </c>
      <c r="J122">
        <v>0</v>
      </c>
      <c r="K122">
        <v>0</v>
      </c>
      <c r="M122">
        <v>0</v>
      </c>
      <c r="N122">
        <v>1120</v>
      </c>
      <c r="O122">
        <v>1050</v>
      </c>
      <c r="Q122">
        <v>2170</v>
      </c>
      <c r="R122">
        <v>0</v>
      </c>
      <c r="S122">
        <v>0</v>
      </c>
      <c r="U122">
        <v>0</v>
      </c>
    </row>
    <row r="123" spans="1:21" hidden="1" x14ac:dyDescent="0.3">
      <c r="A123" t="s">
        <v>114</v>
      </c>
      <c r="B123" t="s">
        <v>65</v>
      </c>
      <c r="C123" t="s">
        <v>46</v>
      </c>
      <c r="D123" t="s">
        <v>36</v>
      </c>
      <c r="E123" t="s">
        <v>19</v>
      </c>
      <c r="F123">
        <v>25</v>
      </c>
      <c r="G123">
        <v>15</v>
      </c>
      <c r="I123">
        <v>40</v>
      </c>
      <c r="J123">
        <v>0</v>
      </c>
      <c r="K123">
        <v>0</v>
      </c>
      <c r="M123">
        <v>0</v>
      </c>
      <c r="N123">
        <v>50</v>
      </c>
      <c r="O123">
        <v>50</v>
      </c>
      <c r="Q123">
        <v>100</v>
      </c>
      <c r="R123">
        <v>0</v>
      </c>
      <c r="S123">
        <v>0</v>
      </c>
      <c r="U123">
        <v>0</v>
      </c>
    </row>
    <row r="124" spans="1:21" hidden="1" x14ac:dyDescent="0.3">
      <c r="A124" t="s">
        <v>114</v>
      </c>
      <c r="B124" t="s">
        <v>65</v>
      </c>
      <c r="C124" t="s">
        <v>46</v>
      </c>
      <c r="D124" t="s">
        <v>36</v>
      </c>
      <c r="E124" t="s">
        <v>68</v>
      </c>
      <c r="F124">
        <v>20</v>
      </c>
      <c r="G124">
        <v>17</v>
      </c>
      <c r="I124">
        <v>37</v>
      </c>
      <c r="J124">
        <v>0</v>
      </c>
      <c r="K124">
        <v>0</v>
      </c>
      <c r="M124">
        <v>0</v>
      </c>
      <c r="N124">
        <v>278</v>
      </c>
      <c r="O124">
        <v>285</v>
      </c>
      <c r="Q124">
        <v>563</v>
      </c>
      <c r="R124">
        <v>0</v>
      </c>
      <c r="S124">
        <v>0</v>
      </c>
      <c r="U124">
        <v>0</v>
      </c>
    </row>
    <row r="125" spans="1:21" hidden="1" x14ac:dyDescent="0.3">
      <c r="A125" t="s">
        <v>114</v>
      </c>
      <c r="B125" t="s">
        <v>65</v>
      </c>
      <c r="C125" t="s">
        <v>46</v>
      </c>
      <c r="D125" t="s">
        <v>69</v>
      </c>
      <c r="E125" t="s">
        <v>70</v>
      </c>
      <c r="F125">
        <v>85</v>
      </c>
      <c r="G125">
        <v>85</v>
      </c>
      <c r="I125">
        <v>170</v>
      </c>
      <c r="J125">
        <v>0</v>
      </c>
      <c r="K125">
        <v>0</v>
      </c>
      <c r="M125">
        <v>0</v>
      </c>
      <c r="Q125">
        <v>0</v>
      </c>
      <c r="R125">
        <v>0</v>
      </c>
      <c r="S125">
        <v>0</v>
      </c>
      <c r="U125">
        <v>0</v>
      </c>
    </row>
    <row r="126" spans="1:21" hidden="1" x14ac:dyDescent="0.3">
      <c r="A126" t="s">
        <v>114</v>
      </c>
      <c r="B126" t="s">
        <v>65</v>
      </c>
      <c r="C126" t="s">
        <v>46</v>
      </c>
      <c r="D126" t="s">
        <v>69</v>
      </c>
      <c r="E126" t="s">
        <v>71</v>
      </c>
      <c r="F126">
        <v>75</v>
      </c>
      <c r="G126">
        <v>75</v>
      </c>
      <c r="I126">
        <v>150</v>
      </c>
      <c r="J126">
        <v>0</v>
      </c>
      <c r="K126">
        <v>0</v>
      </c>
      <c r="M126">
        <v>0</v>
      </c>
      <c r="Q126">
        <v>0</v>
      </c>
      <c r="R126">
        <v>0</v>
      </c>
      <c r="S126">
        <v>0</v>
      </c>
      <c r="U126">
        <v>0</v>
      </c>
    </row>
    <row r="127" spans="1:21" hidden="1" x14ac:dyDescent="0.3">
      <c r="A127" t="s">
        <v>114</v>
      </c>
      <c r="B127" t="s">
        <v>65</v>
      </c>
      <c r="C127" t="s">
        <v>52</v>
      </c>
      <c r="D127" t="s">
        <v>36</v>
      </c>
      <c r="E127" t="s">
        <v>72</v>
      </c>
      <c r="F127">
        <v>1930</v>
      </c>
      <c r="G127">
        <v>1910</v>
      </c>
      <c r="I127">
        <v>3840</v>
      </c>
      <c r="J127">
        <v>0</v>
      </c>
      <c r="K127">
        <v>0</v>
      </c>
      <c r="M127">
        <v>0</v>
      </c>
      <c r="N127">
        <v>6780</v>
      </c>
      <c r="O127">
        <v>6780</v>
      </c>
      <c r="Q127">
        <v>13560</v>
      </c>
      <c r="R127">
        <v>0</v>
      </c>
      <c r="S127">
        <v>0</v>
      </c>
      <c r="U127">
        <v>0</v>
      </c>
    </row>
    <row r="128" spans="1:21" hidden="1" x14ac:dyDescent="0.3">
      <c r="A128" t="s">
        <v>114</v>
      </c>
      <c r="B128" t="s">
        <v>65</v>
      </c>
      <c r="C128" t="s">
        <v>52</v>
      </c>
      <c r="D128" t="s">
        <v>36</v>
      </c>
      <c r="E128" t="s">
        <v>68</v>
      </c>
      <c r="F128">
        <v>3125</v>
      </c>
      <c r="G128">
        <v>3125</v>
      </c>
      <c r="I128">
        <v>6250</v>
      </c>
      <c r="J128">
        <v>0</v>
      </c>
      <c r="K128">
        <v>0</v>
      </c>
      <c r="M128">
        <v>0</v>
      </c>
      <c r="N128">
        <v>10936</v>
      </c>
      <c r="O128">
        <v>10936</v>
      </c>
      <c r="Q128">
        <v>21872</v>
      </c>
      <c r="R128">
        <v>0</v>
      </c>
      <c r="S128">
        <v>0</v>
      </c>
      <c r="U128">
        <v>0</v>
      </c>
    </row>
    <row r="129" spans="1:21" hidden="1" x14ac:dyDescent="0.3">
      <c r="A129" t="s">
        <v>114</v>
      </c>
      <c r="B129" t="s">
        <v>65</v>
      </c>
      <c r="C129" t="s">
        <v>52</v>
      </c>
      <c r="D129" t="s">
        <v>36</v>
      </c>
      <c r="E129" t="s">
        <v>72</v>
      </c>
      <c r="F129">
        <v>1250</v>
      </c>
      <c r="G129">
        <v>1230</v>
      </c>
      <c r="I129">
        <v>2480</v>
      </c>
      <c r="J129">
        <v>0</v>
      </c>
      <c r="K129">
        <v>0</v>
      </c>
      <c r="M129">
        <v>0</v>
      </c>
      <c r="N129">
        <v>4373</v>
      </c>
      <c r="O129">
        <v>4373</v>
      </c>
      <c r="Q129">
        <v>8746</v>
      </c>
      <c r="R129">
        <v>0</v>
      </c>
      <c r="S129">
        <v>0</v>
      </c>
      <c r="U129">
        <v>0</v>
      </c>
    </row>
    <row r="130" spans="1:21" hidden="1" x14ac:dyDescent="0.3">
      <c r="A130" t="s">
        <v>114</v>
      </c>
      <c r="B130" t="s">
        <v>65</v>
      </c>
      <c r="C130" t="s">
        <v>52</v>
      </c>
      <c r="D130" t="s">
        <v>36</v>
      </c>
      <c r="E130" t="s">
        <v>73</v>
      </c>
      <c r="F130">
        <v>1140</v>
      </c>
      <c r="G130">
        <v>1130</v>
      </c>
      <c r="I130">
        <v>2270</v>
      </c>
      <c r="J130">
        <v>0</v>
      </c>
      <c r="K130">
        <v>0</v>
      </c>
      <c r="M130">
        <v>0</v>
      </c>
      <c r="N130">
        <v>3938</v>
      </c>
      <c r="O130">
        <v>3938</v>
      </c>
      <c r="Q130">
        <v>7876</v>
      </c>
      <c r="R130">
        <v>0</v>
      </c>
      <c r="S130">
        <v>0</v>
      </c>
      <c r="U130">
        <v>0</v>
      </c>
    </row>
    <row r="131" spans="1:21" hidden="1" x14ac:dyDescent="0.3">
      <c r="A131" t="s">
        <v>114</v>
      </c>
      <c r="B131" t="s">
        <v>65</v>
      </c>
      <c r="C131" t="s">
        <v>52</v>
      </c>
      <c r="D131" t="s">
        <v>69</v>
      </c>
      <c r="E131" t="s">
        <v>70</v>
      </c>
      <c r="F131">
        <v>350</v>
      </c>
      <c r="G131">
        <v>350</v>
      </c>
      <c r="I131">
        <v>700</v>
      </c>
      <c r="J131">
        <v>350</v>
      </c>
      <c r="K131">
        <v>350</v>
      </c>
      <c r="M131">
        <v>700</v>
      </c>
      <c r="N131">
        <v>1750</v>
      </c>
      <c r="O131">
        <v>1750</v>
      </c>
      <c r="Q131">
        <v>3500</v>
      </c>
      <c r="R131">
        <v>1750</v>
      </c>
      <c r="S131">
        <v>1750</v>
      </c>
      <c r="U131">
        <v>3500</v>
      </c>
    </row>
    <row r="132" spans="1:21" hidden="1" x14ac:dyDescent="0.3">
      <c r="A132" t="s">
        <v>114</v>
      </c>
      <c r="B132" t="s">
        <v>65</v>
      </c>
      <c r="C132" t="s">
        <v>52</v>
      </c>
      <c r="D132" t="s">
        <v>47</v>
      </c>
      <c r="E132" t="s">
        <v>14</v>
      </c>
      <c r="F132">
        <v>1000</v>
      </c>
      <c r="G132">
        <v>1500</v>
      </c>
      <c r="I132">
        <v>2500</v>
      </c>
      <c r="J132">
        <v>1000</v>
      </c>
      <c r="K132">
        <v>1500</v>
      </c>
      <c r="M132">
        <v>2500</v>
      </c>
      <c r="N132">
        <v>1200</v>
      </c>
      <c r="O132">
        <v>1800</v>
      </c>
      <c r="Q132">
        <v>3000</v>
      </c>
      <c r="R132">
        <v>1200</v>
      </c>
      <c r="S132">
        <v>1800</v>
      </c>
      <c r="U132">
        <v>3000</v>
      </c>
    </row>
    <row r="133" spans="1:21" hidden="1" x14ac:dyDescent="0.3">
      <c r="A133" t="s">
        <v>114</v>
      </c>
      <c r="B133" t="s">
        <v>65</v>
      </c>
      <c r="C133" t="s">
        <v>52</v>
      </c>
      <c r="D133" t="s">
        <v>47</v>
      </c>
      <c r="E133" t="s">
        <v>14</v>
      </c>
      <c r="F133">
        <v>1000</v>
      </c>
      <c r="G133">
        <v>1500</v>
      </c>
      <c r="I133">
        <v>2500</v>
      </c>
      <c r="J133">
        <v>1000</v>
      </c>
      <c r="K133">
        <v>1500</v>
      </c>
      <c r="M133">
        <v>2500</v>
      </c>
      <c r="N133">
        <v>1200</v>
      </c>
      <c r="O133">
        <v>1800</v>
      </c>
      <c r="Q133">
        <v>3000</v>
      </c>
      <c r="R133">
        <v>1200</v>
      </c>
      <c r="S133">
        <v>1800</v>
      </c>
      <c r="U133">
        <v>3000</v>
      </c>
    </row>
    <row r="134" spans="1:21" hidden="1" x14ac:dyDescent="0.3">
      <c r="A134" t="s">
        <v>114</v>
      </c>
      <c r="B134" t="s">
        <v>65</v>
      </c>
      <c r="C134" t="s">
        <v>52</v>
      </c>
      <c r="D134" t="s">
        <v>74</v>
      </c>
      <c r="E134" t="s">
        <v>12</v>
      </c>
      <c r="F134">
        <v>200</v>
      </c>
      <c r="G134">
        <v>300</v>
      </c>
      <c r="I134">
        <v>500</v>
      </c>
      <c r="J134">
        <v>0</v>
      </c>
      <c r="K134">
        <v>0</v>
      </c>
      <c r="M134">
        <v>0</v>
      </c>
      <c r="N134">
        <v>1000</v>
      </c>
      <c r="O134">
        <v>1500</v>
      </c>
      <c r="Q134">
        <v>2500</v>
      </c>
      <c r="R134">
        <v>0</v>
      </c>
      <c r="S134">
        <v>0</v>
      </c>
      <c r="U134">
        <v>0</v>
      </c>
    </row>
    <row r="135" spans="1:21" hidden="1" x14ac:dyDescent="0.3">
      <c r="A135" t="s">
        <v>114</v>
      </c>
      <c r="B135" t="s">
        <v>75</v>
      </c>
      <c r="C135" t="s">
        <v>52</v>
      </c>
      <c r="D135" t="s">
        <v>74</v>
      </c>
      <c r="E135" t="s">
        <v>12</v>
      </c>
      <c r="F135">
        <v>500</v>
      </c>
      <c r="G135">
        <v>500</v>
      </c>
      <c r="I135">
        <v>1000</v>
      </c>
      <c r="J135">
        <v>2500</v>
      </c>
      <c r="K135">
        <v>2500</v>
      </c>
      <c r="M135">
        <v>5000</v>
      </c>
      <c r="N135">
        <v>2500</v>
      </c>
      <c r="O135">
        <v>7500</v>
      </c>
      <c r="Q135">
        <v>10000</v>
      </c>
      <c r="R135">
        <v>2500</v>
      </c>
      <c r="S135">
        <v>2500</v>
      </c>
      <c r="U135">
        <v>5000</v>
      </c>
    </row>
    <row r="136" spans="1:21" hidden="1" x14ac:dyDescent="0.3">
      <c r="A136" t="s">
        <v>114</v>
      </c>
      <c r="B136" t="s">
        <v>75</v>
      </c>
      <c r="C136" t="s">
        <v>57</v>
      </c>
      <c r="D136" t="s">
        <v>74</v>
      </c>
      <c r="E136" t="s">
        <v>12</v>
      </c>
      <c r="F136">
        <v>600</v>
      </c>
      <c r="G136">
        <v>600</v>
      </c>
      <c r="I136">
        <v>1200</v>
      </c>
      <c r="J136">
        <v>3000</v>
      </c>
      <c r="K136">
        <v>3000</v>
      </c>
      <c r="M136">
        <v>6000</v>
      </c>
      <c r="N136">
        <v>3000</v>
      </c>
      <c r="O136">
        <v>9000</v>
      </c>
      <c r="Q136">
        <v>12000</v>
      </c>
      <c r="R136">
        <v>3000</v>
      </c>
      <c r="S136">
        <v>3000</v>
      </c>
      <c r="U136">
        <v>6000</v>
      </c>
    </row>
    <row r="137" spans="1:21" hidden="1" x14ac:dyDescent="0.3">
      <c r="A137" t="s">
        <v>114</v>
      </c>
      <c r="B137" t="s">
        <v>75</v>
      </c>
      <c r="C137" t="s">
        <v>44</v>
      </c>
      <c r="D137" t="s">
        <v>74</v>
      </c>
      <c r="E137" t="s">
        <v>12</v>
      </c>
      <c r="F137">
        <v>500</v>
      </c>
      <c r="G137">
        <v>500</v>
      </c>
      <c r="I137">
        <v>1000</v>
      </c>
      <c r="J137">
        <v>2500</v>
      </c>
      <c r="K137">
        <v>2500</v>
      </c>
      <c r="M137">
        <v>5000</v>
      </c>
      <c r="N137">
        <v>2500</v>
      </c>
      <c r="O137">
        <v>7500</v>
      </c>
      <c r="Q137">
        <v>10000</v>
      </c>
      <c r="R137">
        <v>2500</v>
      </c>
      <c r="S137">
        <v>2500</v>
      </c>
      <c r="U137">
        <v>5000</v>
      </c>
    </row>
    <row r="138" spans="1:21" hidden="1" x14ac:dyDescent="0.3">
      <c r="A138" t="s">
        <v>114</v>
      </c>
      <c r="B138" t="s">
        <v>75</v>
      </c>
      <c r="C138" t="s">
        <v>35</v>
      </c>
      <c r="D138" t="s">
        <v>74</v>
      </c>
      <c r="E138" t="s">
        <v>12</v>
      </c>
      <c r="F138">
        <v>1000</v>
      </c>
      <c r="G138">
        <v>1000</v>
      </c>
      <c r="I138">
        <v>2000</v>
      </c>
      <c r="J138">
        <v>5000</v>
      </c>
      <c r="K138">
        <v>5000</v>
      </c>
      <c r="M138">
        <v>10000</v>
      </c>
      <c r="N138">
        <v>5000</v>
      </c>
      <c r="O138">
        <v>15000</v>
      </c>
      <c r="Q138">
        <v>20000</v>
      </c>
      <c r="R138">
        <v>5000</v>
      </c>
      <c r="S138">
        <v>5000</v>
      </c>
      <c r="U138">
        <v>10000</v>
      </c>
    </row>
    <row r="139" spans="1:21" hidden="1" x14ac:dyDescent="0.3">
      <c r="A139" t="s">
        <v>114</v>
      </c>
      <c r="B139" t="s">
        <v>75</v>
      </c>
      <c r="C139" t="s">
        <v>37</v>
      </c>
      <c r="D139" t="s">
        <v>74</v>
      </c>
      <c r="E139" t="s">
        <v>12</v>
      </c>
      <c r="F139">
        <v>0</v>
      </c>
      <c r="G139">
        <v>0</v>
      </c>
      <c r="I139">
        <v>0</v>
      </c>
      <c r="J139">
        <v>0</v>
      </c>
      <c r="K139">
        <v>0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U139">
        <v>0</v>
      </c>
    </row>
    <row r="140" spans="1:21" hidden="1" x14ac:dyDescent="0.3">
      <c r="A140" t="s">
        <v>114</v>
      </c>
      <c r="B140" t="s">
        <v>75</v>
      </c>
      <c r="C140" t="s">
        <v>76</v>
      </c>
      <c r="D140" t="s">
        <v>74</v>
      </c>
      <c r="E140" t="s">
        <v>12</v>
      </c>
      <c r="F140">
        <v>0</v>
      </c>
      <c r="G140">
        <v>0</v>
      </c>
      <c r="I140">
        <v>0</v>
      </c>
      <c r="J140">
        <v>0</v>
      </c>
      <c r="K140">
        <v>0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U140">
        <v>0</v>
      </c>
    </row>
    <row r="141" spans="1:21" hidden="1" x14ac:dyDescent="0.3">
      <c r="A141" t="s">
        <v>114</v>
      </c>
      <c r="B141" t="s">
        <v>75</v>
      </c>
      <c r="C141" t="s">
        <v>53</v>
      </c>
      <c r="D141" t="s">
        <v>74</v>
      </c>
      <c r="E141" t="s">
        <v>12</v>
      </c>
      <c r="F141">
        <v>500</v>
      </c>
      <c r="G141">
        <v>500</v>
      </c>
      <c r="I141">
        <v>1000</v>
      </c>
      <c r="J141">
        <v>2500</v>
      </c>
      <c r="K141">
        <v>2500</v>
      </c>
      <c r="M141">
        <v>5000</v>
      </c>
      <c r="N141">
        <v>2500</v>
      </c>
      <c r="O141">
        <v>7500</v>
      </c>
      <c r="Q141">
        <v>10000</v>
      </c>
      <c r="R141">
        <v>2500</v>
      </c>
      <c r="S141">
        <v>2500</v>
      </c>
      <c r="U141">
        <v>5000</v>
      </c>
    </row>
    <row r="142" spans="1:21" hidden="1" x14ac:dyDescent="0.3">
      <c r="A142" t="s">
        <v>114</v>
      </c>
      <c r="B142" t="s">
        <v>75</v>
      </c>
      <c r="C142" t="s">
        <v>46</v>
      </c>
      <c r="D142" t="s">
        <v>74</v>
      </c>
      <c r="E142" t="s">
        <v>12</v>
      </c>
      <c r="F142">
        <v>25</v>
      </c>
      <c r="G142">
        <v>25</v>
      </c>
      <c r="I142">
        <v>50</v>
      </c>
      <c r="J142">
        <v>125</v>
      </c>
      <c r="K142">
        <v>125</v>
      </c>
      <c r="M142">
        <v>250</v>
      </c>
      <c r="N142">
        <v>125</v>
      </c>
      <c r="O142">
        <v>375</v>
      </c>
      <c r="Q142">
        <v>500</v>
      </c>
      <c r="R142">
        <v>125</v>
      </c>
      <c r="S142">
        <v>125</v>
      </c>
      <c r="U142">
        <v>250</v>
      </c>
    </row>
    <row r="143" spans="1:21" hidden="1" x14ac:dyDescent="0.3">
      <c r="A143" t="s">
        <v>114</v>
      </c>
      <c r="B143" t="s">
        <v>75</v>
      </c>
      <c r="C143" t="s">
        <v>54</v>
      </c>
      <c r="D143" t="s">
        <v>74</v>
      </c>
      <c r="E143" t="s">
        <v>12</v>
      </c>
      <c r="F143">
        <v>100</v>
      </c>
      <c r="G143">
        <v>100</v>
      </c>
      <c r="I143">
        <v>200</v>
      </c>
      <c r="J143">
        <v>500</v>
      </c>
      <c r="K143">
        <v>500</v>
      </c>
      <c r="M143">
        <v>1000</v>
      </c>
      <c r="N143">
        <v>500</v>
      </c>
      <c r="O143">
        <v>1500</v>
      </c>
      <c r="Q143">
        <v>2000</v>
      </c>
      <c r="R143">
        <v>500</v>
      </c>
      <c r="S143">
        <v>500</v>
      </c>
      <c r="U143">
        <v>1000</v>
      </c>
    </row>
    <row r="144" spans="1:21" hidden="1" x14ac:dyDescent="0.3">
      <c r="A144" t="s">
        <v>114</v>
      </c>
      <c r="B144" t="s">
        <v>75</v>
      </c>
      <c r="C144" t="s">
        <v>77</v>
      </c>
      <c r="D144" t="s">
        <v>74</v>
      </c>
      <c r="E144" t="s">
        <v>12</v>
      </c>
      <c r="F144">
        <v>0</v>
      </c>
      <c r="G144">
        <v>0</v>
      </c>
      <c r="I144">
        <v>0</v>
      </c>
      <c r="J144">
        <v>0</v>
      </c>
      <c r="K144">
        <v>0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U144">
        <v>0</v>
      </c>
    </row>
    <row r="145" spans="1:21" hidden="1" x14ac:dyDescent="0.3">
      <c r="A145" t="s">
        <v>114</v>
      </c>
      <c r="B145" t="s">
        <v>75</v>
      </c>
      <c r="C145" t="s">
        <v>58</v>
      </c>
      <c r="D145" t="s">
        <v>74</v>
      </c>
      <c r="E145" t="s">
        <v>12</v>
      </c>
      <c r="F145">
        <v>0</v>
      </c>
      <c r="G145">
        <v>0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  <c r="Q145">
        <v>0</v>
      </c>
      <c r="R145">
        <v>0</v>
      </c>
      <c r="S145">
        <v>0</v>
      </c>
      <c r="U145">
        <v>0</v>
      </c>
    </row>
    <row r="146" spans="1:21" hidden="1" x14ac:dyDescent="0.3">
      <c r="A146" t="s">
        <v>114</v>
      </c>
      <c r="B146" t="s">
        <v>75</v>
      </c>
      <c r="C146" t="s">
        <v>51</v>
      </c>
      <c r="D146" t="s">
        <v>74</v>
      </c>
      <c r="E146" t="s">
        <v>12</v>
      </c>
      <c r="F146">
        <v>0</v>
      </c>
      <c r="G146">
        <v>0</v>
      </c>
      <c r="I146">
        <v>0</v>
      </c>
      <c r="J146">
        <v>0</v>
      </c>
      <c r="K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U146">
        <v>0</v>
      </c>
    </row>
    <row r="147" spans="1:21" hidden="1" x14ac:dyDescent="0.3">
      <c r="A147" t="s">
        <v>114</v>
      </c>
      <c r="B147" t="s">
        <v>75</v>
      </c>
      <c r="C147" t="s">
        <v>78</v>
      </c>
      <c r="D147" t="s">
        <v>74</v>
      </c>
      <c r="E147" t="s">
        <v>12</v>
      </c>
      <c r="F147">
        <v>0</v>
      </c>
      <c r="G147">
        <v>0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U147">
        <v>0</v>
      </c>
    </row>
    <row r="148" spans="1:21" hidden="1" x14ac:dyDescent="0.3">
      <c r="A148" t="s">
        <v>114</v>
      </c>
      <c r="B148" t="s">
        <v>75</v>
      </c>
      <c r="C148" t="s">
        <v>35</v>
      </c>
      <c r="D148" t="s">
        <v>74</v>
      </c>
      <c r="E148" t="s">
        <v>12</v>
      </c>
      <c r="F148">
        <v>100</v>
      </c>
      <c r="G148">
        <v>100</v>
      </c>
      <c r="I148">
        <v>200</v>
      </c>
      <c r="J148">
        <v>500</v>
      </c>
      <c r="K148">
        <v>500</v>
      </c>
      <c r="M148">
        <v>1000</v>
      </c>
      <c r="N148">
        <v>500</v>
      </c>
      <c r="O148">
        <v>1500</v>
      </c>
      <c r="Q148">
        <v>2000</v>
      </c>
      <c r="R148">
        <v>500</v>
      </c>
      <c r="S148">
        <v>500</v>
      </c>
      <c r="U148">
        <v>1000</v>
      </c>
    </row>
    <row r="149" spans="1:21" hidden="1" x14ac:dyDescent="0.3">
      <c r="A149" t="s">
        <v>114</v>
      </c>
      <c r="B149" t="s">
        <v>75</v>
      </c>
      <c r="C149" t="s">
        <v>79</v>
      </c>
      <c r="D149" t="s">
        <v>74</v>
      </c>
      <c r="E149" t="s">
        <v>12</v>
      </c>
      <c r="F149">
        <v>0</v>
      </c>
      <c r="G149">
        <v>0</v>
      </c>
      <c r="I149">
        <v>0</v>
      </c>
      <c r="J149">
        <v>0</v>
      </c>
      <c r="K149">
        <v>0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U149">
        <v>0</v>
      </c>
    </row>
    <row r="150" spans="1:21" hidden="1" x14ac:dyDescent="0.3">
      <c r="A150" t="s">
        <v>114</v>
      </c>
      <c r="B150" t="s">
        <v>75</v>
      </c>
      <c r="C150" t="s">
        <v>41</v>
      </c>
      <c r="D150" t="s">
        <v>74</v>
      </c>
      <c r="E150" t="s">
        <v>12</v>
      </c>
      <c r="F150">
        <v>0</v>
      </c>
      <c r="G150">
        <v>0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U150">
        <v>0</v>
      </c>
    </row>
    <row r="151" spans="1:21" hidden="1" x14ac:dyDescent="0.3">
      <c r="A151" t="s">
        <v>114</v>
      </c>
      <c r="B151" t="s">
        <v>75</v>
      </c>
      <c r="C151" t="s">
        <v>80</v>
      </c>
      <c r="D151" t="s">
        <v>74</v>
      </c>
      <c r="E151" t="s">
        <v>12</v>
      </c>
      <c r="F151">
        <v>0</v>
      </c>
      <c r="G151">
        <v>0</v>
      </c>
      <c r="I151">
        <v>0</v>
      </c>
      <c r="J151">
        <v>0</v>
      </c>
      <c r="K151">
        <v>0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U151">
        <v>0</v>
      </c>
    </row>
    <row r="152" spans="1:21" hidden="1" x14ac:dyDescent="0.3">
      <c r="A152" t="s">
        <v>114</v>
      </c>
      <c r="B152" t="s">
        <v>75</v>
      </c>
      <c r="C152" t="s">
        <v>37</v>
      </c>
      <c r="D152" t="s">
        <v>74</v>
      </c>
      <c r="E152" t="s">
        <v>12</v>
      </c>
      <c r="F152">
        <v>0</v>
      </c>
      <c r="G152">
        <v>0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0</v>
      </c>
      <c r="U152">
        <v>0</v>
      </c>
    </row>
    <row r="153" spans="1:21" hidden="1" x14ac:dyDescent="0.3">
      <c r="A153" t="s">
        <v>114</v>
      </c>
      <c r="B153" t="s">
        <v>75</v>
      </c>
      <c r="C153" t="s">
        <v>52</v>
      </c>
      <c r="D153" t="s">
        <v>74</v>
      </c>
      <c r="E153" t="s">
        <v>81</v>
      </c>
      <c r="F153">
        <v>400</v>
      </c>
      <c r="G153">
        <v>600</v>
      </c>
      <c r="I153">
        <v>1000</v>
      </c>
      <c r="J153">
        <v>2000</v>
      </c>
      <c r="K153">
        <v>3000</v>
      </c>
      <c r="M153">
        <v>5000</v>
      </c>
      <c r="N153">
        <v>3000</v>
      </c>
      <c r="O153">
        <v>8000</v>
      </c>
      <c r="Q153">
        <v>11000</v>
      </c>
      <c r="R153">
        <v>2000</v>
      </c>
      <c r="S153">
        <v>3000</v>
      </c>
      <c r="U153">
        <v>5000</v>
      </c>
    </row>
    <row r="154" spans="1:21" hidden="1" x14ac:dyDescent="0.3">
      <c r="A154" t="s">
        <v>114</v>
      </c>
      <c r="B154" t="s">
        <v>75</v>
      </c>
      <c r="C154" t="s">
        <v>57</v>
      </c>
      <c r="D154" t="s">
        <v>74</v>
      </c>
      <c r="E154" t="s">
        <v>81</v>
      </c>
      <c r="F154">
        <v>850</v>
      </c>
      <c r="G154">
        <v>850</v>
      </c>
      <c r="I154">
        <v>1700</v>
      </c>
      <c r="J154">
        <v>4200</v>
      </c>
      <c r="K154">
        <v>4200</v>
      </c>
      <c r="M154">
        <v>8400</v>
      </c>
      <c r="N154">
        <v>4200</v>
      </c>
      <c r="O154">
        <v>12600</v>
      </c>
      <c r="Q154">
        <v>16800</v>
      </c>
      <c r="R154">
        <v>4200</v>
      </c>
      <c r="S154">
        <v>4200</v>
      </c>
      <c r="U154">
        <v>8400</v>
      </c>
    </row>
    <row r="155" spans="1:21" hidden="1" x14ac:dyDescent="0.3">
      <c r="A155" t="s">
        <v>114</v>
      </c>
      <c r="B155" t="s">
        <v>75</v>
      </c>
      <c r="C155" t="s">
        <v>44</v>
      </c>
      <c r="D155" t="s">
        <v>74</v>
      </c>
      <c r="E155" t="s">
        <v>81</v>
      </c>
      <c r="F155">
        <v>1000</v>
      </c>
      <c r="G155">
        <v>1000</v>
      </c>
      <c r="I155">
        <v>2000</v>
      </c>
      <c r="J155">
        <v>5000</v>
      </c>
      <c r="K155">
        <v>5000</v>
      </c>
      <c r="M155">
        <v>10000</v>
      </c>
      <c r="N155">
        <v>5000</v>
      </c>
      <c r="O155">
        <v>15000</v>
      </c>
      <c r="Q155">
        <v>20000</v>
      </c>
      <c r="R155">
        <v>5000</v>
      </c>
      <c r="S155">
        <v>5000</v>
      </c>
      <c r="U155">
        <v>10000</v>
      </c>
    </row>
    <row r="156" spans="1:21" hidden="1" x14ac:dyDescent="0.3">
      <c r="A156" t="s">
        <v>114</v>
      </c>
      <c r="B156" t="s">
        <v>75</v>
      </c>
      <c r="C156" t="s">
        <v>35</v>
      </c>
      <c r="D156" t="s">
        <v>74</v>
      </c>
      <c r="E156" t="s">
        <v>81</v>
      </c>
      <c r="F156">
        <v>100</v>
      </c>
      <c r="G156">
        <v>100</v>
      </c>
      <c r="I156">
        <v>200</v>
      </c>
      <c r="J156">
        <v>500</v>
      </c>
      <c r="K156">
        <v>500</v>
      </c>
      <c r="M156">
        <v>1000</v>
      </c>
      <c r="N156">
        <v>500</v>
      </c>
      <c r="O156">
        <v>1500</v>
      </c>
      <c r="Q156">
        <v>2000</v>
      </c>
      <c r="R156">
        <v>500</v>
      </c>
      <c r="S156">
        <v>500</v>
      </c>
      <c r="U156">
        <v>1000</v>
      </c>
    </row>
    <row r="157" spans="1:21" hidden="1" x14ac:dyDescent="0.3">
      <c r="A157" t="s">
        <v>114</v>
      </c>
      <c r="B157" t="s">
        <v>75</v>
      </c>
      <c r="C157" t="s">
        <v>37</v>
      </c>
      <c r="D157" t="s">
        <v>74</v>
      </c>
      <c r="E157" t="s">
        <v>81</v>
      </c>
      <c r="F157">
        <v>1000</v>
      </c>
      <c r="G157">
        <v>1000</v>
      </c>
      <c r="I157">
        <v>2000</v>
      </c>
      <c r="J157">
        <v>5000</v>
      </c>
      <c r="K157">
        <v>5000</v>
      </c>
      <c r="M157">
        <v>10000</v>
      </c>
      <c r="N157">
        <v>5000</v>
      </c>
      <c r="O157">
        <v>15000</v>
      </c>
      <c r="Q157">
        <v>20000</v>
      </c>
      <c r="R157">
        <v>5000</v>
      </c>
      <c r="S157">
        <v>5000</v>
      </c>
      <c r="U157">
        <v>10000</v>
      </c>
    </row>
    <row r="158" spans="1:21" hidden="1" x14ac:dyDescent="0.3">
      <c r="A158" t="s">
        <v>114</v>
      </c>
      <c r="B158" t="s">
        <v>75</v>
      </c>
      <c r="C158" t="s">
        <v>76</v>
      </c>
      <c r="D158" t="s">
        <v>74</v>
      </c>
      <c r="E158" t="s">
        <v>81</v>
      </c>
      <c r="F158">
        <v>0</v>
      </c>
      <c r="G158">
        <v>0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U158">
        <v>0</v>
      </c>
    </row>
    <row r="159" spans="1:21" hidden="1" x14ac:dyDescent="0.3">
      <c r="A159" t="s">
        <v>114</v>
      </c>
      <c r="B159" t="s">
        <v>75</v>
      </c>
      <c r="C159" t="s">
        <v>53</v>
      </c>
      <c r="D159" t="s">
        <v>74</v>
      </c>
      <c r="E159" t="s">
        <v>81</v>
      </c>
      <c r="F159">
        <v>400</v>
      </c>
      <c r="G159">
        <v>600</v>
      </c>
      <c r="I159">
        <v>1000</v>
      </c>
      <c r="J159">
        <v>2000</v>
      </c>
      <c r="K159">
        <v>2400</v>
      </c>
      <c r="M159">
        <v>4400</v>
      </c>
      <c r="N159">
        <v>2400</v>
      </c>
      <c r="O159">
        <v>6800</v>
      </c>
      <c r="Q159">
        <v>9200</v>
      </c>
      <c r="R159">
        <v>2000</v>
      </c>
      <c r="S159">
        <v>2400</v>
      </c>
      <c r="U159">
        <v>4400</v>
      </c>
    </row>
    <row r="160" spans="1:21" hidden="1" x14ac:dyDescent="0.3">
      <c r="A160" t="s">
        <v>114</v>
      </c>
      <c r="B160" t="s">
        <v>75</v>
      </c>
      <c r="C160" t="s">
        <v>46</v>
      </c>
      <c r="D160" t="s">
        <v>74</v>
      </c>
      <c r="E160" t="s">
        <v>81</v>
      </c>
      <c r="F160">
        <v>25</v>
      </c>
      <c r="G160">
        <v>25</v>
      </c>
      <c r="I160">
        <v>50</v>
      </c>
      <c r="J160">
        <v>125</v>
      </c>
      <c r="K160">
        <v>125</v>
      </c>
      <c r="M160">
        <v>250</v>
      </c>
      <c r="N160">
        <v>125</v>
      </c>
      <c r="O160">
        <v>375</v>
      </c>
      <c r="Q160">
        <v>500</v>
      </c>
      <c r="R160">
        <v>125</v>
      </c>
      <c r="S160">
        <v>125</v>
      </c>
      <c r="U160">
        <v>250</v>
      </c>
    </row>
    <row r="161" spans="1:21" hidden="1" x14ac:dyDescent="0.3">
      <c r="A161" t="s">
        <v>114</v>
      </c>
      <c r="B161" t="s">
        <v>75</v>
      </c>
      <c r="C161" t="s">
        <v>54</v>
      </c>
      <c r="D161" t="s">
        <v>74</v>
      </c>
      <c r="E161" t="s">
        <v>81</v>
      </c>
      <c r="F161">
        <v>100</v>
      </c>
      <c r="G161">
        <v>100</v>
      </c>
      <c r="I161">
        <v>200</v>
      </c>
      <c r="J161">
        <v>600</v>
      </c>
      <c r="K161">
        <v>500</v>
      </c>
      <c r="M161">
        <v>1100</v>
      </c>
      <c r="N161">
        <v>500</v>
      </c>
      <c r="O161">
        <v>1600</v>
      </c>
      <c r="Q161">
        <v>2100</v>
      </c>
      <c r="R161">
        <v>600</v>
      </c>
      <c r="S161">
        <v>500</v>
      </c>
      <c r="U161">
        <v>1100</v>
      </c>
    </row>
    <row r="162" spans="1:21" hidden="1" x14ac:dyDescent="0.3">
      <c r="A162" t="s">
        <v>114</v>
      </c>
      <c r="B162" t="s">
        <v>75</v>
      </c>
      <c r="C162" t="s">
        <v>77</v>
      </c>
      <c r="D162" t="s">
        <v>74</v>
      </c>
      <c r="E162" t="s">
        <v>81</v>
      </c>
      <c r="F162">
        <v>0</v>
      </c>
      <c r="G162">
        <v>0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U162">
        <v>0</v>
      </c>
    </row>
    <row r="163" spans="1:21" hidden="1" x14ac:dyDescent="0.3">
      <c r="A163" t="s">
        <v>114</v>
      </c>
      <c r="B163" t="s">
        <v>75</v>
      </c>
      <c r="C163" t="s">
        <v>58</v>
      </c>
      <c r="D163" t="s">
        <v>74</v>
      </c>
      <c r="E163" t="s">
        <v>81</v>
      </c>
      <c r="F163">
        <v>0</v>
      </c>
      <c r="G163">
        <v>0</v>
      </c>
      <c r="I163">
        <v>0</v>
      </c>
      <c r="J163">
        <v>0</v>
      </c>
      <c r="K163">
        <v>0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U163">
        <v>0</v>
      </c>
    </row>
    <row r="164" spans="1:21" hidden="1" x14ac:dyDescent="0.3">
      <c r="A164" t="s">
        <v>114</v>
      </c>
      <c r="B164" t="s">
        <v>75</v>
      </c>
      <c r="C164" t="s">
        <v>51</v>
      </c>
      <c r="D164" t="s">
        <v>74</v>
      </c>
      <c r="E164" t="s">
        <v>81</v>
      </c>
      <c r="F164">
        <v>0</v>
      </c>
      <c r="G164">
        <v>0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U164">
        <v>0</v>
      </c>
    </row>
    <row r="165" spans="1:21" hidden="1" x14ac:dyDescent="0.3">
      <c r="A165" t="s">
        <v>114</v>
      </c>
      <c r="B165" t="s">
        <v>75</v>
      </c>
      <c r="C165" t="s">
        <v>78</v>
      </c>
      <c r="D165" t="s">
        <v>74</v>
      </c>
      <c r="E165" t="s">
        <v>81</v>
      </c>
      <c r="F165">
        <v>0</v>
      </c>
      <c r="G165">
        <v>0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U165">
        <v>0</v>
      </c>
    </row>
    <row r="166" spans="1:21" hidden="1" x14ac:dyDescent="0.3">
      <c r="A166" t="s">
        <v>114</v>
      </c>
      <c r="B166" t="s">
        <v>75</v>
      </c>
      <c r="C166" t="s">
        <v>51</v>
      </c>
      <c r="D166" t="s">
        <v>74</v>
      </c>
      <c r="E166" t="s">
        <v>81</v>
      </c>
      <c r="F166">
        <v>0</v>
      </c>
      <c r="G166">
        <v>0</v>
      </c>
      <c r="I166">
        <v>0</v>
      </c>
      <c r="J166">
        <v>0</v>
      </c>
      <c r="K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U166">
        <v>0</v>
      </c>
    </row>
    <row r="167" spans="1:21" hidden="1" x14ac:dyDescent="0.3">
      <c r="A167" t="s">
        <v>114</v>
      </c>
      <c r="B167" t="s">
        <v>75</v>
      </c>
      <c r="C167" t="s">
        <v>79</v>
      </c>
      <c r="D167" t="s">
        <v>74</v>
      </c>
      <c r="E167" t="s">
        <v>81</v>
      </c>
      <c r="F167">
        <v>2000</v>
      </c>
      <c r="G167">
        <v>2000</v>
      </c>
      <c r="I167">
        <v>4000</v>
      </c>
      <c r="J167">
        <v>10000</v>
      </c>
      <c r="K167">
        <v>10000</v>
      </c>
      <c r="M167">
        <v>20000</v>
      </c>
      <c r="N167">
        <v>10000</v>
      </c>
      <c r="O167">
        <v>30000</v>
      </c>
      <c r="Q167">
        <v>40000</v>
      </c>
      <c r="R167">
        <v>10000</v>
      </c>
      <c r="S167">
        <v>10000</v>
      </c>
      <c r="U167">
        <v>20000</v>
      </c>
    </row>
    <row r="168" spans="1:21" hidden="1" x14ac:dyDescent="0.3">
      <c r="A168" t="s">
        <v>114</v>
      </c>
      <c r="B168" t="s">
        <v>75</v>
      </c>
      <c r="C168" t="s">
        <v>41</v>
      </c>
      <c r="D168" t="s">
        <v>74</v>
      </c>
      <c r="E168" t="s">
        <v>81</v>
      </c>
      <c r="F168">
        <v>0</v>
      </c>
      <c r="G168">
        <v>0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U168">
        <v>0</v>
      </c>
    </row>
    <row r="169" spans="1:21" hidden="1" x14ac:dyDescent="0.3">
      <c r="A169" t="s">
        <v>114</v>
      </c>
      <c r="B169" t="s">
        <v>75</v>
      </c>
      <c r="C169" t="s">
        <v>76</v>
      </c>
      <c r="D169" t="s">
        <v>74</v>
      </c>
      <c r="E169" t="s">
        <v>81</v>
      </c>
      <c r="F169">
        <v>0</v>
      </c>
      <c r="G169">
        <v>0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U169">
        <v>0</v>
      </c>
    </row>
    <row r="170" spans="1:21" hidden="1" x14ac:dyDescent="0.3">
      <c r="A170" t="s">
        <v>114</v>
      </c>
      <c r="B170" t="s">
        <v>75</v>
      </c>
      <c r="C170" t="s">
        <v>80</v>
      </c>
      <c r="D170" t="s">
        <v>74</v>
      </c>
      <c r="E170" t="s">
        <v>81</v>
      </c>
      <c r="F170">
        <v>0</v>
      </c>
      <c r="G170">
        <v>0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U170">
        <v>0</v>
      </c>
    </row>
    <row r="171" spans="1:21" hidden="1" x14ac:dyDescent="0.3">
      <c r="A171" t="s">
        <v>114</v>
      </c>
      <c r="B171" t="s">
        <v>75</v>
      </c>
      <c r="C171" t="s">
        <v>52</v>
      </c>
      <c r="D171" t="s">
        <v>74</v>
      </c>
      <c r="E171" t="s">
        <v>82</v>
      </c>
      <c r="F171">
        <v>500</v>
      </c>
      <c r="G171">
        <v>500</v>
      </c>
      <c r="I171">
        <v>1000</v>
      </c>
      <c r="J171">
        <v>2500</v>
      </c>
      <c r="K171">
        <v>2500</v>
      </c>
      <c r="M171">
        <v>5000</v>
      </c>
      <c r="N171">
        <v>2500</v>
      </c>
      <c r="O171">
        <v>7500</v>
      </c>
      <c r="Q171">
        <v>10000</v>
      </c>
      <c r="R171">
        <v>2500</v>
      </c>
      <c r="S171">
        <v>2500</v>
      </c>
      <c r="U171">
        <v>5000</v>
      </c>
    </row>
    <row r="172" spans="1:21" hidden="1" x14ac:dyDescent="0.3">
      <c r="A172" t="s">
        <v>114</v>
      </c>
      <c r="B172" t="s">
        <v>75</v>
      </c>
      <c r="C172" t="s">
        <v>57</v>
      </c>
      <c r="D172" t="s">
        <v>74</v>
      </c>
      <c r="E172" t="s">
        <v>82</v>
      </c>
      <c r="F172">
        <v>600</v>
      </c>
      <c r="G172">
        <v>600</v>
      </c>
      <c r="I172">
        <v>1200</v>
      </c>
      <c r="J172">
        <v>2400</v>
      </c>
      <c r="K172">
        <v>2400</v>
      </c>
      <c r="M172">
        <v>4800</v>
      </c>
      <c r="N172">
        <v>2400</v>
      </c>
      <c r="O172">
        <v>7200</v>
      </c>
      <c r="Q172">
        <v>9600</v>
      </c>
      <c r="R172">
        <v>2400</v>
      </c>
      <c r="S172">
        <v>2400</v>
      </c>
      <c r="U172">
        <v>4800</v>
      </c>
    </row>
    <row r="173" spans="1:21" hidden="1" x14ac:dyDescent="0.3">
      <c r="A173" t="s">
        <v>114</v>
      </c>
      <c r="B173" t="s">
        <v>75</v>
      </c>
      <c r="C173" t="s">
        <v>44</v>
      </c>
      <c r="D173" t="s">
        <v>74</v>
      </c>
      <c r="E173" t="s">
        <v>82</v>
      </c>
      <c r="F173">
        <v>1000</v>
      </c>
      <c r="G173">
        <v>1000</v>
      </c>
      <c r="I173">
        <v>2000</v>
      </c>
      <c r="J173">
        <v>5000</v>
      </c>
      <c r="K173">
        <v>5000</v>
      </c>
      <c r="M173">
        <v>10000</v>
      </c>
      <c r="N173">
        <v>5000</v>
      </c>
      <c r="O173">
        <v>15000</v>
      </c>
      <c r="Q173">
        <v>20000</v>
      </c>
      <c r="R173">
        <v>5000</v>
      </c>
      <c r="S173">
        <v>5000</v>
      </c>
      <c r="U173">
        <v>10000</v>
      </c>
    </row>
    <row r="174" spans="1:21" hidden="1" x14ac:dyDescent="0.3">
      <c r="A174" t="s">
        <v>114</v>
      </c>
      <c r="B174" t="s">
        <v>75</v>
      </c>
      <c r="C174" t="s">
        <v>35</v>
      </c>
      <c r="D174" t="s">
        <v>74</v>
      </c>
      <c r="E174" t="s">
        <v>82</v>
      </c>
      <c r="F174">
        <v>50</v>
      </c>
      <c r="G174">
        <v>150</v>
      </c>
      <c r="I174">
        <v>200</v>
      </c>
      <c r="J174">
        <v>250</v>
      </c>
      <c r="K174">
        <v>750</v>
      </c>
      <c r="M174">
        <v>1000</v>
      </c>
      <c r="N174">
        <v>750</v>
      </c>
      <c r="O174">
        <v>1750</v>
      </c>
      <c r="Q174">
        <v>2500</v>
      </c>
      <c r="R174">
        <v>250</v>
      </c>
      <c r="S174">
        <v>750</v>
      </c>
      <c r="U174">
        <v>1000</v>
      </c>
    </row>
    <row r="175" spans="1:21" hidden="1" x14ac:dyDescent="0.3">
      <c r="A175" t="s">
        <v>114</v>
      </c>
      <c r="B175" t="s">
        <v>75</v>
      </c>
      <c r="C175" t="s">
        <v>37</v>
      </c>
      <c r="D175" t="s">
        <v>74</v>
      </c>
      <c r="E175" t="s">
        <v>82</v>
      </c>
      <c r="F175">
        <v>0</v>
      </c>
      <c r="G175">
        <v>0</v>
      </c>
      <c r="I175">
        <v>0</v>
      </c>
      <c r="J175">
        <v>0</v>
      </c>
      <c r="K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U175">
        <v>0</v>
      </c>
    </row>
    <row r="176" spans="1:21" hidden="1" x14ac:dyDescent="0.3">
      <c r="A176" t="s">
        <v>114</v>
      </c>
      <c r="B176" t="s">
        <v>75</v>
      </c>
      <c r="C176" t="s">
        <v>76</v>
      </c>
      <c r="D176" t="s">
        <v>74</v>
      </c>
      <c r="E176" t="s">
        <v>82</v>
      </c>
      <c r="F176">
        <v>0</v>
      </c>
      <c r="G176">
        <v>0</v>
      </c>
      <c r="I176">
        <v>0</v>
      </c>
      <c r="J176">
        <v>0</v>
      </c>
      <c r="K176">
        <v>0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U176">
        <v>0</v>
      </c>
    </row>
    <row r="177" spans="1:21" hidden="1" x14ac:dyDescent="0.3">
      <c r="A177" t="s">
        <v>114</v>
      </c>
      <c r="B177" t="s">
        <v>75</v>
      </c>
      <c r="C177" t="s">
        <v>53</v>
      </c>
      <c r="D177" t="s">
        <v>74</v>
      </c>
      <c r="E177" t="s">
        <v>82</v>
      </c>
      <c r="F177">
        <v>400</v>
      </c>
      <c r="G177">
        <v>600</v>
      </c>
      <c r="I177">
        <v>1000</v>
      </c>
      <c r="J177">
        <v>2000</v>
      </c>
      <c r="K177">
        <v>2400</v>
      </c>
      <c r="M177">
        <v>4400</v>
      </c>
      <c r="N177">
        <v>2400</v>
      </c>
      <c r="O177">
        <v>6800</v>
      </c>
      <c r="Q177">
        <v>9200</v>
      </c>
      <c r="R177">
        <v>2000</v>
      </c>
      <c r="S177">
        <v>2400</v>
      </c>
      <c r="U177">
        <v>4400</v>
      </c>
    </row>
    <row r="178" spans="1:21" hidden="1" x14ac:dyDescent="0.3">
      <c r="A178" t="s">
        <v>114</v>
      </c>
      <c r="B178" t="s">
        <v>75</v>
      </c>
      <c r="C178" t="s">
        <v>46</v>
      </c>
      <c r="D178" t="s">
        <v>74</v>
      </c>
      <c r="E178" t="s">
        <v>82</v>
      </c>
      <c r="F178">
        <v>25</v>
      </c>
      <c r="G178">
        <v>25</v>
      </c>
      <c r="I178">
        <v>50</v>
      </c>
      <c r="J178">
        <v>125</v>
      </c>
      <c r="K178">
        <v>125</v>
      </c>
      <c r="M178">
        <v>250</v>
      </c>
      <c r="N178">
        <v>125</v>
      </c>
      <c r="O178">
        <v>375</v>
      </c>
      <c r="Q178">
        <v>500</v>
      </c>
      <c r="R178">
        <v>125</v>
      </c>
      <c r="S178">
        <v>125</v>
      </c>
      <c r="U178">
        <v>250</v>
      </c>
    </row>
    <row r="179" spans="1:21" hidden="1" x14ac:dyDescent="0.3">
      <c r="A179" t="s">
        <v>114</v>
      </c>
      <c r="B179" t="s">
        <v>75</v>
      </c>
      <c r="C179" t="s">
        <v>54</v>
      </c>
      <c r="D179" t="s">
        <v>74</v>
      </c>
      <c r="E179" t="s">
        <v>82</v>
      </c>
      <c r="F179">
        <v>50</v>
      </c>
      <c r="G179">
        <v>150</v>
      </c>
      <c r="I179">
        <v>200</v>
      </c>
      <c r="J179">
        <v>250</v>
      </c>
      <c r="K179">
        <v>750</v>
      </c>
      <c r="M179">
        <v>1000</v>
      </c>
      <c r="N179">
        <v>750</v>
      </c>
      <c r="O179">
        <v>1750</v>
      </c>
      <c r="Q179">
        <v>2500</v>
      </c>
      <c r="R179">
        <v>250</v>
      </c>
      <c r="S179">
        <v>750</v>
      </c>
      <c r="U179">
        <v>1000</v>
      </c>
    </row>
    <row r="180" spans="1:21" hidden="1" x14ac:dyDescent="0.3">
      <c r="A180" t="s">
        <v>114</v>
      </c>
      <c r="B180" t="s">
        <v>75</v>
      </c>
      <c r="C180" t="s">
        <v>77</v>
      </c>
      <c r="D180" t="s">
        <v>74</v>
      </c>
      <c r="E180" t="s">
        <v>82</v>
      </c>
      <c r="F180">
        <v>0</v>
      </c>
      <c r="G180">
        <v>0</v>
      </c>
      <c r="I180">
        <v>0</v>
      </c>
      <c r="J180">
        <v>0</v>
      </c>
      <c r="K180">
        <v>0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U180">
        <v>0</v>
      </c>
    </row>
    <row r="181" spans="1:21" hidden="1" x14ac:dyDescent="0.3">
      <c r="A181" t="s">
        <v>114</v>
      </c>
      <c r="B181" t="s">
        <v>75</v>
      </c>
      <c r="C181" t="s">
        <v>58</v>
      </c>
      <c r="D181" t="s">
        <v>74</v>
      </c>
      <c r="E181" t="s">
        <v>82</v>
      </c>
      <c r="F181">
        <v>0</v>
      </c>
      <c r="G181">
        <v>0</v>
      </c>
      <c r="I181">
        <v>0</v>
      </c>
      <c r="J181">
        <v>0</v>
      </c>
      <c r="K181">
        <v>0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U181">
        <v>0</v>
      </c>
    </row>
    <row r="182" spans="1:21" hidden="1" x14ac:dyDescent="0.3">
      <c r="A182" t="s">
        <v>114</v>
      </c>
      <c r="B182" t="s">
        <v>75</v>
      </c>
      <c r="C182" t="s">
        <v>51</v>
      </c>
      <c r="D182" t="s">
        <v>74</v>
      </c>
      <c r="E182" t="s">
        <v>82</v>
      </c>
      <c r="F182">
        <v>0</v>
      </c>
      <c r="G182">
        <v>0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U182">
        <v>0</v>
      </c>
    </row>
    <row r="183" spans="1:21" hidden="1" x14ac:dyDescent="0.3">
      <c r="A183" t="s">
        <v>114</v>
      </c>
      <c r="B183" t="s">
        <v>75</v>
      </c>
      <c r="C183" t="s">
        <v>78</v>
      </c>
      <c r="D183" t="s">
        <v>74</v>
      </c>
      <c r="E183" t="s">
        <v>82</v>
      </c>
      <c r="F183">
        <v>0</v>
      </c>
      <c r="G183">
        <v>0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U183">
        <v>0</v>
      </c>
    </row>
    <row r="184" spans="1:21" hidden="1" x14ac:dyDescent="0.3">
      <c r="A184" t="s">
        <v>114</v>
      </c>
      <c r="B184" t="s">
        <v>75</v>
      </c>
      <c r="C184" t="s">
        <v>35</v>
      </c>
      <c r="D184" t="s">
        <v>74</v>
      </c>
      <c r="E184" t="s">
        <v>82</v>
      </c>
      <c r="F184">
        <v>50</v>
      </c>
      <c r="G184">
        <v>150</v>
      </c>
      <c r="I184">
        <v>200</v>
      </c>
      <c r="J184">
        <v>250</v>
      </c>
      <c r="K184">
        <v>750</v>
      </c>
      <c r="M184">
        <v>1000</v>
      </c>
      <c r="N184">
        <v>750</v>
      </c>
      <c r="O184">
        <v>1750</v>
      </c>
      <c r="Q184">
        <v>2500</v>
      </c>
      <c r="R184">
        <v>250</v>
      </c>
      <c r="S184">
        <v>750</v>
      </c>
      <c r="U184">
        <v>1000</v>
      </c>
    </row>
    <row r="185" spans="1:21" hidden="1" x14ac:dyDescent="0.3">
      <c r="A185" t="s">
        <v>114</v>
      </c>
      <c r="B185" t="s">
        <v>75</v>
      </c>
      <c r="C185" t="s">
        <v>79</v>
      </c>
      <c r="D185" t="s">
        <v>74</v>
      </c>
      <c r="E185" t="s">
        <v>82</v>
      </c>
      <c r="F185">
        <v>0</v>
      </c>
      <c r="G185">
        <v>0</v>
      </c>
      <c r="I185">
        <v>0</v>
      </c>
      <c r="J185">
        <v>0</v>
      </c>
      <c r="M185">
        <v>0</v>
      </c>
      <c r="O185">
        <v>0</v>
      </c>
      <c r="Q185">
        <v>0</v>
      </c>
      <c r="R185">
        <v>0</v>
      </c>
      <c r="U185">
        <v>0</v>
      </c>
    </row>
    <row r="186" spans="1:21" hidden="1" x14ac:dyDescent="0.3">
      <c r="A186" t="s">
        <v>114</v>
      </c>
      <c r="B186" t="s">
        <v>75</v>
      </c>
      <c r="C186" t="s">
        <v>41</v>
      </c>
      <c r="D186" t="s">
        <v>74</v>
      </c>
      <c r="E186" t="s">
        <v>82</v>
      </c>
      <c r="F186">
        <v>0</v>
      </c>
      <c r="G186">
        <v>0</v>
      </c>
      <c r="I186">
        <v>0</v>
      </c>
      <c r="J186">
        <v>0</v>
      </c>
      <c r="M186">
        <v>0</v>
      </c>
      <c r="O186">
        <v>0</v>
      </c>
      <c r="Q186">
        <v>0</v>
      </c>
      <c r="R186">
        <v>0</v>
      </c>
      <c r="U186">
        <v>0</v>
      </c>
    </row>
    <row r="187" spans="1:21" hidden="1" x14ac:dyDescent="0.3">
      <c r="A187" t="s">
        <v>114</v>
      </c>
      <c r="B187" t="s">
        <v>75</v>
      </c>
      <c r="C187" t="s">
        <v>80</v>
      </c>
      <c r="D187" t="s">
        <v>74</v>
      </c>
      <c r="E187" t="s">
        <v>82</v>
      </c>
      <c r="F187">
        <v>0</v>
      </c>
      <c r="G187">
        <v>0</v>
      </c>
      <c r="I187">
        <v>0</v>
      </c>
      <c r="J187">
        <v>0</v>
      </c>
      <c r="M187">
        <v>0</v>
      </c>
      <c r="O187">
        <v>0</v>
      </c>
      <c r="Q187">
        <v>0</v>
      </c>
      <c r="R187">
        <v>0</v>
      </c>
      <c r="U187">
        <v>0</v>
      </c>
    </row>
    <row r="188" spans="1:21" hidden="1" x14ac:dyDescent="0.3">
      <c r="A188" t="s">
        <v>114</v>
      </c>
      <c r="B188" t="s">
        <v>75</v>
      </c>
      <c r="C188" t="s">
        <v>37</v>
      </c>
      <c r="D188" t="s">
        <v>74</v>
      </c>
      <c r="E188" t="s">
        <v>82</v>
      </c>
      <c r="F188">
        <v>0</v>
      </c>
      <c r="G188">
        <v>0</v>
      </c>
      <c r="I188">
        <v>0</v>
      </c>
      <c r="J188">
        <v>0</v>
      </c>
      <c r="M188">
        <v>0</v>
      </c>
      <c r="O188">
        <v>0</v>
      </c>
      <c r="Q188">
        <v>0</v>
      </c>
      <c r="R188">
        <v>0</v>
      </c>
      <c r="U188">
        <v>0</v>
      </c>
    </row>
    <row r="189" spans="1:21" hidden="1" x14ac:dyDescent="0.3">
      <c r="A189" t="s">
        <v>114</v>
      </c>
      <c r="B189" t="s">
        <v>75</v>
      </c>
      <c r="C189" t="s">
        <v>46</v>
      </c>
      <c r="D189" t="s">
        <v>42</v>
      </c>
      <c r="E189" t="s">
        <v>83</v>
      </c>
      <c r="F189">
        <v>50</v>
      </c>
      <c r="G189">
        <v>60</v>
      </c>
      <c r="I189">
        <v>110</v>
      </c>
      <c r="J189">
        <v>500</v>
      </c>
      <c r="K189">
        <v>500</v>
      </c>
      <c r="M189">
        <v>1000</v>
      </c>
      <c r="N189">
        <v>500</v>
      </c>
      <c r="O189">
        <v>1500</v>
      </c>
      <c r="Q189">
        <v>2000</v>
      </c>
      <c r="R189">
        <v>500</v>
      </c>
      <c r="S189">
        <v>500</v>
      </c>
      <c r="U189">
        <v>1000</v>
      </c>
    </row>
    <row r="190" spans="1:21" hidden="1" x14ac:dyDescent="0.3">
      <c r="A190" t="s">
        <v>114</v>
      </c>
      <c r="B190" t="s">
        <v>75</v>
      </c>
      <c r="C190" t="s">
        <v>37</v>
      </c>
      <c r="D190" t="s">
        <v>42</v>
      </c>
      <c r="E190" t="s">
        <v>83</v>
      </c>
      <c r="F190">
        <v>50</v>
      </c>
      <c r="G190">
        <v>80</v>
      </c>
      <c r="I190">
        <v>130</v>
      </c>
      <c r="J190">
        <v>300</v>
      </c>
      <c r="K190">
        <v>480</v>
      </c>
      <c r="M190">
        <v>780</v>
      </c>
      <c r="N190">
        <v>480</v>
      </c>
      <c r="O190">
        <v>1260</v>
      </c>
      <c r="Q190">
        <v>1740</v>
      </c>
      <c r="R190">
        <v>300</v>
      </c>
      <c r="S190">
        <v>480</v>
      </c>
      <c r="U190">
        <v>780</v>
      </c>
    </row>
    <row r="191" spans="1:21" hidden="1" x14ac:dyDescent="0.3">
      <c r="A191" t="s">
        <v>114</v>
      </c>
      <c r="B191" t="s">
        <v>75</v>
      </c>
      <c r="C191" t="s">
        <v>37</v>
      </c>
      <c r="D191" t="s">
        <v>42</v>
      </c>
      <c r="E191" t="s">
        <v>84</v>
      </c>
      <c r="F191">
        <v>50</v>
      </c>
      <c r="G191">
        <v>50</v>
      </c>
      <c r="I191">
        <v>100</v>
      </c>
      <c r="J191">
        <v>120</v>
      </c>
      <c r="K191">
        <v>180</v>
      </c>
      <c r="M191">
        <v>300</v>
      </c>
      <c r="N191">
        <v>180</v>
      </c>
      <c r="O191">
        <v>480</v>
      </c>
      <c r="Q191">
        <v>660</v>
      </c>
      <c r="R191">
        <v>120</v>
      </c>
      <c r="S191">
        <v>180</v>
      </c>
      <c r="U191">
        <v>300</v>
      </c>
    </row>
    <row r="192" spans="1:21" hidden="1" x14ac:dyDescent="0.3">
      <c r="A192" t="s">
        <v>114</v>
      </c>
      <c r="B192" t="s">
        <v>75</v>
      </c>
      <c r="C192" t="s">
        <v>37</v>
      </c>
      <c r="D192" t="s">
        <v>42</v>
      </c>
      <c r="E192" t="s">
        <v>85</v>
      </c>
      <c r="F192">
        <v>50</v>
      </c>
      <c r="G192">
        <v>50</v>
      </c>
      <c r="I192">
        <v>100</v>
      </c>
      <c r="J192">
        <v>120</v>
      </c>
      <c r="K192">
        <v>180</v>
      </c>
      <c r="M192">
        <v>300</v>
      </c>
      <c r="N192">
        <v>180</v>
      </c>
      <c r="O192">
        <v>480</v>
      </c>
      <c r="Q192">
        <v>660</v>
      </c>
      <c r="R192">
        <v>120</v>
      </c>
      <c r="S192">
        <v>180</v>
      </c>
      <c r="U192">
        <v>300</v>
      </c>
    </row>
    <row r="193" spans="1:21" hidden="1" x14ac:dyDescent="0.3">
      <c r="A193" t="s">
        <v>114</v>
      </c>
      <c r="B193" t="s">
        <v>75</v>
      </c>
      <c r="C193" t="s">
        <v>52</v>
      </c>
      <c r="D193" t="s">
        <v>42</v>
      </c>
      <c r="E193" t="s">
        <v>86</v>
      </c>
      <c r="F193">
        <v>120</v>
      </c>
      <c r="G193">
        <v>180</v>
      </c>
      <c r="I193">
        <v>300</v>
      </c>
      <c r="J193">
        <v>720</v>
      </c>
      <c r="K193">
        <v>1080</v>
      </c>
      <c r="M193">
        <v>1800</v>
      </c>
      <c r="N193">
        <v>1080</v>
      </c>
      <c r="O193">
        <v>2880</v>
      </c>
      <c r="Q193">
        <v>3960</v>
      </c>
      <c r="R193">
        <v>720</v>
      </c>
      <c r="S193">
        <v>1080</v>
      </c>
      <c r="U193">
        <v>1800</v>
      </c>
    </row>
    <row r="194" spans="1:21" hidden="1" x14ac:dyDescent="0.3">
      <c r="A194" t="s">
        <v>114</v>
      </c>
      <c r="B194" t="s">
        <v>75</v>
      </c>
      <c r="C194" t="s">
        <v>52</v>
      </c>
      <c r="D194" t="s">
        <v>42</v>
      </c>
      <c r="E194" t="s">
        <v>84</v>
      </c>
      <c r="F194">
        <v>400</v>
      </c>
      <c r="G194">
        <v>500</v>
      </c>
      <c r="I194">
        <v>900</v>
      </c>
      <c r="J194">
        <v>2500</v>
      </c>
      <c r="K194">
        <v>3500</v>
      </c>
      <c r="M194">
        <v>6000</v>
      </c>
      <c r="N194">
        <v>3500</v>
      </c>
      <c r="O194">
        <v>9500</v>
      </c>
      <c r="Q194">
        <v>13000</v>
      </c>
      <c r="R194">
        <v>2500</v>
      </c>
      <c r="S194">
        <v>3500</v>
      </c>
      <c r="U194">
        <v>6000</v>
      </c>
    </row>
    <row r="195" spans="1:21" hidden="1" x14ac:dyDescent="0.3">
      <c r="A195" t="s">
        <v>114</v>
      </c>
      <c r="B195" t="s">
        <v>75</v>
      </c>
      <c r="C195" t="s">
        <v>52</v>
      </c>
      <c r="D195" t="s">
        <v>42</v>
      </c>
      <c r="E195" t="s">
        <v>43</v>
      </c>
      <c r="F195">
        <v>800</v>
      </c>
      <c r="G195">
        <v>1200</v>
      </c>
      <c r="I195">
        <v>2000</v>
      </c>
      <c r="J195">
        <v>4800</v>
      </c>
      <c r="K195">
        <v>7200</v>
      </c>
      <c r="M195">
        <v>12000</v>
      </c>
      <c r="N195">
        <v>7200</v>
      </c>
      <c r="O195">
        <v>19200</v>
      </c>
      <c r="Q195">
        <v>26400</v>
      </c>
      <c r="R195">
        <v>4800</v>
      </c>
      <c r="S195">
        <v>7200</v>
      </c>
      <c r="U195">
        <v>12000</v>
      </c>
    </row>
    <row r="196" spans="1:21" hidden="1" x14ac:dyDescent="0.3">
      <c r="A196" t="s">
        <v>114</v>
      </c>
      <c r="B196" t="s">
        <v>75</v>
      </c>
      <c r="C196" t="s">
        <v>52</v>
      </c>
      <c r="D196" t="s">
        <v>42</v>
      </c>
      <c r="E196" t="s">
        <v>83</v>
      </c>
      <c r="F196">
        <v>400</v>
      </c>
      <c r="G196">
        <v>600</v>
      </c>
      <c r="I196">
        <v>1000</v>
      </c>
      <c r="J196">
        <v>2400</v>
      </c>
      <c r="K196">
        <v>3600</v>
      </c>
      <c r="M196">
        <v>6000</v>
      </c>
      <c r="N196">
        <v>3600</v>
      </c>
      <c r="O196">
        <v>9600</v>
      </c>
      <c r="Q196">
        <v>13200</v>
      </c>
      <c r="R196">
        <v>2400</v>
      </c>
      <c r="S196">
        <v>3600</v>
      </c>
      <c r="U196">
        <v>6000</v>
      </c>
    </row>
    <row r="197" spans="1:21" hidden="1" x14ac:dyDescent="0.3">
      <c r="A197" t="s">
        <v>114</v>
      </c>
      <c r="B197" t="s">
        <v>75</v>
      </c>
      <c r="C197" t="s">
        <v>46</v>
      </c>
      <c r="D197" t="s">
        <v>42</v>
      </c>
      <c r="E197" t="s">
        <v>83</v>
      </c>
      <c r="F197">
        <v>20</v>
      </c>
      <c r="G197">
        <v>40</v>
      </c>
      <c r="I197">
        <v>60</v>
      </c>
      <c r="J197">
        <v>1000</v>
      </c>
      <c r="K197">
        <v>2000</v>
      </c>
      <c r="M197">
        <v>3000</v>
      </c>
      <c r="N197">
        <v>2000</v>
      </c>
      <c r="O197">
        <v>5000</v>
      </c>
      <c r="Q197">
        <v>7000</v>
      </c>
      <c r="R197">
        <v>1000</v>
      </c>
      <c r="S197">
        <v>2000</v>
      </c>
      <c r="U197">
        <v>3000</v>
      </c>
    </row>
    <row r="198" spans="1:21" hidden="1" x14ac:dyDescent="0.3">
      <c r="A198" t="s">
        <v>114</v>
      </c>
      <c r="B198" t="s">
        <v>75</v>
      </c>
      <c r="C198" t="s">
        <v>35</v>
      </c>
      <c r="D198" t="s">
        <v>42</v>
      </c>
      <c r="E198" t="s">
        <v>83</v>
      </c>
      <c r="F198">
        <v>100</v>
      </c>
      <c r="G198">
        <v>100</v>
      </c>
      <c r="I198">
        <v>200</v>
      </c>
      <c r="J198">
        <v>600</v>
      </c>
      <c r="K198">
        <v>600</v>
      </c>
      <c r="M198">
        <v>1200</v>
      </c>
      <c r="N198">
        <v>600</v>
      </c>
      <c r="O198">
        <v>1800</v>
      </c>
      <c r="Q198">
        <v>2400</v>
      </c>
      <c r="R198">
        <v>600</v>
      </c>
      <c r="S198">
        <v>600</v>
      </c>
      <c r="U198">
        <v>1200</v>
      </c>
    </row>
    <row r="199" spans="1:21" hidden="1" x14ac:dyDescent="0.3">
      <c r="A199" t="s">
        <v>114</v>
      </c>
      <c r="B199" t="s">
        <v>75</v>
      </c>
      <c r="C199" t="s">
        <v>54</v>
      </c>
      <c r="D199" t="s">
        <v>42</v>
      </c>
      <c r="E199" t="s">
        <v>83</v>
      </c>
      <c r="F199">
        <v>80</v>
      </c>
      <c r="G199">
        <v>120</v>
      </c>
      <c r="I199">
        <v>200</v>
      </c>
      <c r="J199">
        <v>480</v>
      </c>
      <c r="K199">
        <v>720</v>
      </c>
      <c r="M199">
        <v>1200</v>
      </c>
      <c r="N199">
        <v>720</v>
      </c>
      <c r="O199">
        <v>1920</v>
      </c>
      <c r="Q199">
        <v>2640</v>
      </c>
      <c r="R199">
        <v>480</v>
      </c>
      <c r="S199">
        <v>720</v>
      </c>
      <c r="U199">
        <v>1200</v>
      </c>
    </row>
    <row r="200" spans="1:21" hidden="1" x14ac:dyDescent="0.3">
      <c r="A200" t="s">
        <v>114</v>
      </c>
      <c r="B200" t="s">
        <v>75</v>
      </c>
      <c r="C200" t="s">
        <v>50</v>
      </c>
      <c r="D200" t="s">
        <v>42</v>
      </c>
      <c r="E200" t="s">
        <v>83</v>
      </c>
      <c r="F200">
        <v>200</v>
      </c>
      <c r="G200">
        <v>300</v>
      </c>
      <c r="I200">
        <v>500</v>
      </c>
      <c r="J200">
        <v>1200</v>
      </c>
      <c r="K200">
        <v>1800</v>
      </c>
      <c r="M200">
        <v>3000</v>
      </c>
      <c r="N200">
        <v>1800</v>
      </c>
      <c r="O200">
        <v>4800</v>
      </c>
      <c r="Q200">
        <v>6600</v>
      </c>
      <c r="R200">
        <v>1200</v>
      </c>
      <c r="S200">
        <v>1800</v>
      </c>
      <c r="U200">
        <v>3000</v>
      </c>
    </row>
    <row r="201" spans="1:21" hidden="1" x14ac:dyDescent="0.3">
      <c r="A201" t="s">
        <v>114</v>
      </c>
      <c r="B201" t="s">
        <v>75</v>
      </c>
      <c r="C201" t="s">
        <v>50</v>
      </c>
      <c r="D201" t="s">
        <v>42</v>
      </c>
      <c r="E201" t="s">
        <v>84</v>
      </c>
      <c r="F201">
        <v>200</v>
      </c>
      <c r="G201">
        <v>300</v>
      </c>
      <c r="I201">
        <v>500</v>
      </c>
      <c r="J201">
        <v>1200</v>
      </c>
      <c r="K201">
        <v>1800</v>
      </c>
      <c r="M201">
        <v>3000</v>
      </c>
      <c r="N201">
        <v>1800</v>
      </c>
      <c r="O201">
        <v>4800</v>
      </c>
      <c r="Q201">
        <v>6600</v>
      </c>
      <c r="R201">
        <v>1200</v>
      </c>
      <c r="S201">
        <v>1800</v>
      </c>
      <c r="U201">
        <v>3000</v>
      </c>
    </row>
    <row r="202" spans="1:21" hidden="1" x14ac:dyDescent="0.3">
      <c r="A202" t="s">
        <v>114</v>
      </c>
      <c r="B202" t="s">
        <v>75</v>
      </c>
      <c r="C202" t="s">
        <v>35</v>
      </c>
      <c r="D202" t="s">
        <v>42</v>
      </c>
      <c r="E202" t="s">
        <v>84</v>
      </c>
      <c r="F202">
        <v>40</v>
      </c>
      <c r="G202">
        <v>60</v>
      </c>
      <c r="I202">
        <v>100</v>
      </c>
      <c r="J202">
        <v>240</v>
      </c>
      <c r="K202">
        <v>360</v>
      </c>
      <c r="M202">
        <v>600</v>
      </c>
      <c r="N202">
        <v>360</v>
      </c>
      <c r="O202">
        <v>960</v>
      </c>
      <c r="Q202">
        <v>1320</v>
      </c>
      <c r="R202">
        <v>240</v>
      </c>
      <c r="S202">
        <v>360</v>
      </c>
      <c r="U202">
        <v>600</v>
      </c>
    </row>
    <row r="203" spans="1:21" hidden="1" x14ac:dyDescent="0.3">
      <c r="A203" t="s">
        <v>114</v>
      </c>
      <c r="B203" t="s">
        <v>75</v>
      </c>
      <c r="C203" t="s">
        <v>54</v>
      </c>
      <c r="D203" t="s">
        <v>42</v>
      </c>
      <c r="E203" t="s">
        <v>84</v>
      </c>
      <c r="F203">
        <v>40</v>
      </c>
      <c r="G203">
        <v>60</v>
      </c>
      <c r="I203">
        <v>100</v>
      </c>
      <c r="J203">
        <v>240</v>
      </c>
      <c r="K203">
        <v>360</v>
      </c>
      <c r="M203">
        <v>600</v>
      </c>
      <c r="N203">
        <v>360</v>
      </c>
      <c r="O203">
        <v>960</v>
      </c>
      <c r="Q203">
        <v>1320</v>
      </c>
      <c r="R203">
        <v>240</v>
      </c>
      <c r="S203">
        <v>360</v>
      </c>
      <c r="U203">
        <v>600</v>
      </c>
    </row>
    <row r="204" spans="1:21" hidden="1" x14ac:dyDescent="0.3">
      <c r="A204" t="s">
        <v>114</v>
      </c>
      <c r="B204" t="s">
        <v>75</v>
      </c>
      <c r="C204" t="s">
        <v>54</v>
      </c>
      <c r="D204" t="s">
        <v>42</v>
      </c>
      <c r="E204" t="s">
        <v>43</v>
      </c>
      <c r="F204">
        <v>80</v>
      </c>
      <c r="G204">
        <v>120</v>
      </c>
      <c r="I204">
        <v>200</v>
      </c>
      <c r="J204">
        <v>480</v>
      </c>
      <c r="K204">
        <v>720</v>
      </c>
      <c r="M204">
        <v>1200</v>
      </c>
      <c r="N204">
        <v>720</v>
      </c>
      <c r="O204">
        <v>1920</v>
      </c>
      <c r="Q204">
        <v>2640</v>
      </c>
      <c r="R204">
        <v>480</v>
      </c>
      <c r="S204">
        <v>720</v>
      </c>
      <c r="U204">
        <v>1200</v>
      </c>
    </row>
    <row r="205" spans="1:21" hidden="1" x14ac:dyDescent="0.3">
      <c r="A205" t="s">
        <v>114</v>
      </c>
      <c r="B205" t="s">
        <v>75</v>
      </c>
      <c r="C205" t="s">
        <v>35</v>
      </c>
      <c r="D205" t="s">
        <v>42</v>
      </c>
      <c r="E205" t="s">
        <v>43</v>
      </c>
      <c r="F205">
        <v>80</v>
      </c>
      <c r="G205">
        <v>120</v>
      </c>
      <c r="I205">
        <v>200</v>
      </c>
      <c r="J205">
        <v>480</v>
      </c>
      <c r="K205">
        <v>720</v>
      </c>
      <c r="M205">
        <v>1200</v>
      </c>
      <c r="N205">
        <v>720</v>
      </c>
      <c r="O205">
        <v>1920</v>
      </c>
      <c r="Q205">
        <v>2640</v>
      </c>
      <c r="R205">
        <v>480</v>
      </c>
      <c r="S205">
        <v>720</v>
      </c>
      <c r="U205">
        <v>1200</v>
      </c>
    </row>
    <row r="206" spans="1:21" hidden="1" x14ac:dyDescent="0.3">
      <c r="A206" t="s">
        <v>114</v>
      </c>
      <c r="B206" t="s">
        <v>75</v>
      </c>
      <c r="C206" t="s">
        <v>35</v>
      </c>
      <c r="D206" t="s">
        <v>47</v>
      </c>
      <c r="E206" t="s">
        <v>48</v>
      </c>
      <c r="F206">
        <v>30</v>
      </c>
      <c r="G206">
        <v>40</v>
      </c>
      <c r="I206">
        <v>70</v>
      </c>
      <c r="J206">
        <v>180</v>
      </c>
      <c r="K206">
        <v>240</v>
      </c>
      <c r="M206">
        <v>420</v>
      </c>
      <c r="N206">
        <v>240</v>
      </c>
      <c r="O206">
        <v>660</v>
      </c>
      <c r="Q206">
        <v>900</v>
      </c>
      <c r="R206">
        <v>180</v>
      </c>
      <c r="S206">
        <v>240</v>
      </c>
      <c r="U206">
        <v>420</v>
      </c>
    </row>
    <row r="207" spans="1:21" hidden="1" x14ac:dyDescent="0.3">
      <c r="A207" t="s">
        <v>114</v>
      </c>
      <c r="B207" t="s">
        <v>75</v>
      </c>
      <c r="C207" t="s">
        <v>54</v>
      </c>
      <c r="D207" t="s">
        <v>47</v>
      </c>
      <c r="E207" t="s">
        <v>48</v>
      </c>
      <c r="F207">
        <v>40</v>
      </c>
      <c r="G207">
        <v>60</v>
      </c>
      <c r="I207">
        <v>100</v>
      </c>
      <c r="J207">
        <v>240</v>
      </c>
      <c r="K207">
        <v>360</v>
      </c>
      <c r="M207">
        <v>600</v>
      </c>
      <c r="N207">
        <v>360</v>
      </c>
      <c r="O207">
        <v>960</v>
      </c>
      <c r="Q207">
        <v>1320</v>
      </c>
      <c r="R207">
        <v>240</v>
      </c>
      <c r="S207">
        <v>360</v>
      </c>
      <c r="U207">
        <v>600</v>
      </c>
    </row>
    <row r="208" spans="1:21" hidden="1" x14ac:dyDescent="0.3">
      <c r="A208" t="s">
        <v>114</v>
      </c>
      <c r="B208" t="s">
        <v>75</v>
      </c>
      <c r="C208" t="s">
        <v>52</v>
      </c>
      <c r="D208" t="s">
        <v>47</v>
      </c>
      <c r="E208" t="s">
        <v>48</v>
      </c>
      <c r="F208">
        <v>600</v>
      </c>
      <c r="G208">
        <v>900</v>
      </c>
      <c r="I208">
        <v>1500</v>
      </c>
      <c r="J208">
        <v>3600</v>
      </c>
      <c r="K208">
        <v>5400</v>
      </c>
      <c r="M208">
        <v>9000</v>
      </c>
      <c r="N208">
        <v>5400</v>
      </c>
      <c r="O208">
        <v>14400</v>
      </c>
      <c r="Q208">
        <v>19800</v>
      </c>
      <c r="R208">
        <v>3600</v>
      </c>
      <c r="S208">
        <v>5400</v>
      </c>
      <c r="U208">
        <v>9000</v>
      </c>
    </row>
    <row r="209" spans="1:21" hidden="1" x14ac:dyDescent="0.3">
      <c r="A209" t="s">
        <v>114</v>
      </c>
      <c r="B209" t="s">
        <v>75</v>
      </c>
      <c r="C209" t="s">
        <v>50</v>
      </c>
      <c r="D209" t="s">
        <v>47</v>
      </c>
      <c r="E209" t="s">
        <v>48</v>
      </c>
      <c r="F209">
        <v>500</v>
      </c>
      <c r="G209">
        <v>1000</v>
      </c>
      <c r="I209">
        <v>1500</v>
      </c>
      <c r="J209">
        <v>3000</v>
      </c>
      <c r="K209">
        <v>6000</v>
      </c>
      <c r="M209">
        <v>9000</v>
      </c>
      <c r="N209">
        <v>6000</v>
      </c>
      <c r="O209">
        <v>15000</v>
      </c>
      <c r="Q209">
        <v>21000</v>
      </c>
      <c r="R209">
        <v>3000</v>
      </c>
      <c r="S209">
        <v>6000</v>
      </c>
      <c r="U209">
        <v>9000</v>
      </c>
    </row>
    <row r="210" spans="1:21" hidden="1" x14ac:dyDescent="0.3">
      <c r="A210" t="s">
        <v>114</v>
      </c>
      <c r="B210" t="s">
        <v>75</v>
      </c>
      <c r="C210" t="s">
        <v>52</v>
      </c>
      <c r="D210" t="s">
        <v>47</v>
      </c>
      <c r="E210" t="s">
        <v>56</v>
      </c>
      <c r="F210">
        <v>600</v>
      </c>
      <c r="G210">
        <v>900</v>
      </c>
      <c r="I210">
        <v>1500</v>
      </c>
      <c r="J210">
        <v>3600</v>
      </c>
      <c r="K210">
        <v>5400</v>
      </c>
      <c r="M210">
        <v>9000</v>
      </c>
      <c r="N210">
        <v>5400</v>
      </c>
      <c r="O210">
        <v>14400</v>
      </c>
      <c r="Q210">
        <v>19800</v>
      </c>
      <c r="R210">
        <v>3600</v>
      </c>
      <c r="S210">
        <v>5400</v>
      </c>
      <c r="U210">
        <v>9000</v>
      </c>
    </row>
    <row r="211" spans="1:21" hidden="1" x14ac:dyDescent="0.3">
      <c r="A211" t="s">
        <v>114</v>
      </c>
      <c r="B211" t="s">
        <v>75</v>
      </c>
      <c r="C211" t="s">
        <v>46</v>
      </c>
      <c r="D211" t="s">
        <v>47</v>
      </c>
      <c r="E211" t="s">
        <v>56</v>
      </c>
      <c r="F211">
        <v>20</v>
      </c>
      <c r="G211">
        <v>30</v>
      </c>
      <c r="I211">
        <v>50</v>
      </c>
      <c r="J211">
        <v>800</v>
      </c>
      <c r="K211">
        <v>1300</v>
      </c>
      <c r="M211">
        <v>2100</v>
      </c>
      <c r="N211">
        <v>1300</v>
      </c>
      <c r="O211">
        <v>3400</v>
      </c>
      <c r="Q211">
        <v>4700</v>
      </c>
      <c r="R211">
        <v>800</v>
      </c>
      <c r="S211">
        <v>1300</v>
      </c>
      <c r="U211">
        <v>2100</v>
      </c>
    </row>
    <row r="212" spans="1:21" hidden="1" x14ac:dyDescent="0.3">
      <c r="A212" t="s">
        <v>114</v>
      </c>
      <c r="B212" t="s">
        <v>75</v>
      </c>
      <c r="C212" t="s">
        <v>50</v>
      </c>
      <c r="D212" t="s">
        <v>47</v>
      </c>
      <c r="E212" t="s">
        <v>56</v>
      </c>
      <c r="F212">
        <v>500</v>
      </c>
      <c r="G212">
        <v>1000</v>
      </c>
      <c r="I212">
        <v>1500</v>
      </c>
      <c r="J212">
        <v>3600</v>
      </c>
      <c r="K212">
        <v>5400</v>
      </c>
      <c r="M212">
        <v>9000</v>
      </c>
      <c r="N212">
        <v>5400</v>
      </c>
      <c r="O212">
        <v>14400</v>
      </c>
      <c r="Q212">
        <v>19800</v>
      </c>
      <c r="R212">
        <v>3600</v>
      </c>
      <c r="S212">
        <v>5400</v>
      </c>
      <c r="U212">
        <v>9000</v>
      </c>
    </row>
    <row r="213" spans="1:21" hidden="1" x14ac:dyDescent="0.3">
      <c r="A213" t="s">
        <v>114</v>
      </c>
      <c r="B213" t="s">
        <v>75</v>
      </c>
      <c r="C213" t="s">
        <v>54</v>
      </c>
      <c r="D213" t="s">
        <v>47</v>
      </c>
      <c r="E213" t="s">
        <v>56</v>
      </c>
      <c r="F213">
        <v>100</v>
      </c>
      <c r="G213">
        <v>100</v>
      </c>
      <c r="I213">
        <v>200</v>
      </c>
      <c r="J213">
        <v>600</v>
      </c>
      <c r="K213">
        <v>600</v>
      </c>
      <c r="M213">
        <v>1200</v>
      </c>
      <c r="N213">
        <v>600</v>
      </c>
      <c r="O213">
        <v>1800</v>
      </c>
      <c r="Q213">
        <v>2400</v>
      </c>
      <c r="R213">
        <v>600</v>
      </c>
      <c r="S213">
        <v>600</v>
      </c>
      <c r="U213">
        <v>1200</v>
      </c>
    </row>
    <row r="214" spans="1:21" hidden="1" x14ac:dyDescent="0.3">
      <c r="A214" t="s">
        <v>114</v>
      </c>
      <c r="B214" t="s">
        <v>75</v>
      </c>
      <c r="C214" t="s">
        <v>35</v>
      </c>
      <c r="D214" t="s">
        <v>47</v>
      </c>
      <c r="E214" t="s">
        <v>56</v>
      </c>
      <c r="F214">
        <v>20</v>
      </c>
      <c r="G214">
        <v>30</v>
      </c>
      <c r="I214">
        <v>50</v>
      </c>
      <c r="J214">
        <v>180</v>
      </c>
      <c r="K214">
        <v>240</v>
      </c>
      <c r="M214">
        <v>420</v>
      </c>
      <c r="N214">
        <v>240</v>
      </c>
      <c r="O214">
        <v>660</v>
      </c>
      <c r="Q214">
        <v>900</v>
      </c>
      <c r="R214">
        <v>180</v>
      </c>
      <c r="S214">
        <v>240</v>
      </c>
      <c r="U214">
        <v>420</v>
      </c>
    </row>
    <row r="215" spans="1:21" hidden="1" x14ac:dyDescent="0.3">
      <c r="A215" t="s">
        <v>114</v>
      </c>
      <c r="B215" t="s">
        <v>87</v>
      </c>
      <c r="C215" t="s">
        <v>52</v>
      </c>
      <c r="D215" t="s">
        <v>74</v>
      </c>
      <c r="E215" t="s">
        <v>88</v>
      </c>
      <c r="F215">
        <v>174</v>
      </c>
      <c r="G215">
        <v>161</v>
      </c>
      <c r="I215">
        <v>335</v>
      </c>
      <c r="J215">
        <v>278</v>
      </c>
      <c r="K215">
        <v>269</v>
      </c>
      <c r="M215">
        <v>547</v>
      </c>
      <c r="N215">
        <v>1044</v>
      </c>
      <c r="O215">
        <v>966</v>
      </c>
      <c r="Q215">
        <v>2010</v>
      </c>
      <c r="R215">
        <v>1668</v>
      </c>
      <c r="S215">
        <v>1614</v>
      </c>
      <c r="U215">
        <v>3282</v>
      </c>
    </row>
    <row r="216" spans="1:21" hidden="1" x14ac:dyDescent="0.3">
      <c r="A216" t="s">
        <v>114</v>
      </c>
      <c r="B216" t="s">
        <v>87</v>
      </c>
      <c r="C216" t="s">
        <v>52</v>
      </c>
      <c r="D216" t="s">
        <v>74</v>
      </c>
      <c r="E216" t="s">
        <v>81</v>
      </c>
      <c r="F216">
        <v>174</v>
      </c>
      <c r="G216">
        <v>160</v>
      </c>
      <c r="I216">
        <v>334</v>
      </c>
      <c r="J216">
        <v>121</v>
      </c>
      <c r="K216">
        <v>119</v>
      </c>
      <c r="M216">
        <v>240</v>
      </c>
      <c r="N216">
        <v>1044</v>
      </c>
      <c r="O216">
        <v>960</v>
      </c>
      <c r="Q216">
        <v>2004</v>
      </c>
      <c r="R216">
        <v>726</v>
      </c>
      <c r="S216">
        <v>714</v>
      </c>
      <c r="U216">
        <v>1440</v>
      </c>
    </row>
    <row r="217" spans="1:21" hidden="1" x14ac:dyDescent="0.3">
      <c r="A217" t="s">
        <v>114</v>
      </c>
      <c r="B217" t="s">
        <v>87</v>
      </c>
      <c r="C217" t="s">
        <v>52</v>
      </c>
      <c r="D217" t="s">
        <v>74</v>
      </c>
      <c r="E217" t="s">
        <v>12</v>
      </c>
      <c r="F217">
        <v>174</v>
      </c>
      <c r="G217">
        <v>161</v>
      </c>
      <c r="I217">
        <v>335</v>
      </c>
      <c r="J217">
        <v>287</v>
      </c>
      <c r="K217">
        <v>315</v>
      </c>
      <c r="M217">
        <v>602</v>
      </c>
      <c r="N217">
        <v>1044</v>
      </c>
      <c r="O217">
        <v>966</v>
      </c>
      <c r="Q217">
        <v>2010</v>
      </c>
      <c r="R217">
        <v>1722</v>
      </c>
      <c r="S217">
        <v>1890</v>
      </c>
      <c r="U217">
        <v>3612</v>
      </c>
    </row>
    <row r="218" spans="1:21" hidden="1" x14ac:dyDescent="0.3">
      <c r="A218" t="s">
        <v>114</v>
      </c>
      <c r="B218" t="s">
        <v>87</v>
      </c>
      <c r="C218" t="s">
        <v>54</v>
      </c>
      <c r="D218" t="s">
        <v>74</v>
      </c>
      <c r="E218" t="s">
        <v>88</v>
      </c>
      <c r="F218">
        <v>68</v>
      </c>
      <c r="G218">
        <v>63</v>
      </c>
      <c r="I218">
        <v>131</v>
      </c>
      <c r="J218">
        <v>27</v>
      </c>
      <c r="K218">
        <v>310</v>
      </c>
      <c r="M218">
        <v>337</v>
      </c>
      <c r="N218">
        <v>408</v>
      </c>
      <c r="O218">
        <v>378</v>
      </c>
      <c r="Q218">
        <v>786</v>
      </c>
      <c r="R218">
        <v>162</v>
      </c>
      <c r="S218">
        <v>1860</v>
      </c>
      <c r="U218">
        <v>2022</v>
      </c>
    </row>
    <row r="219" spans="1:21" hidden="1" x14ac:dyDescent="0.3">
      <c r="A219" t="s">
        <v>114</v>
      </c>
      <c r="B219" t="s">
        <v>87</v>
      </c>
      <c r="C219" t="s">
        <v>54</v>
      </c>
      <c r="D219" t="s">
        <v>74</v>
      </c>
      <c r="E219" t="s">
        <v>81</v>
      </c>
      <c r="F219">
        <v>68</v>
      </c>
      <c r="G219">
        <v>63</v>
      </c>
      <c r="I219">
        <v>131</v>
      </c>
      <c r="J219">
        <v>26</v>
      </c>
      <c r="K219">
        <v>309</v>
      </c>
      <c r="M219">
        <v>335</v>
      </c>
      <c r="N219">
        <v>408</v>
      </c>
      <c r="O219">
        <v>378</v>
      </c>
      <c r="Q219">
        <v>786</v>
      </c>
      <c r="R219">
        <v>156</v>
      </c>
      <c r="S219">
        <v>1854</v>
      </c>
      <c r="U219">
        <v>2010</v>
      </c>
    </row>
    <row r="220" spans="1:21" hidden="1" x14ac:dyDescent="0.3">
      <c r="A220" t="s">
        <v>114</v>
      </c>
      <c r="B220" t="s">
        <v>87</v>
      </c>
      <c r="C220" t="s">
        <v>54</v>
      </c>
      <c r="D220" t="s">
        <v>74</v>
      </c>
      <c r="E220" t="s">
        <v>12</v>
      </c>
      <c r="F220">
        <v>68</v>
      </c>
      <c r="G220">
        <v>62</v>
      </c>
      <c r="I220">
        <v>130</v>
      </c>
      <c r="J220">
        <v>26</v>
      </c>
      <c r="K220">
        <v>309</v>
      </c>
      <c r="M220">
        <v>335</v>
      </c>
      <c r="N220">
        <v>408</v>
      </c>
      <c r="O220">
        <v>372</v>
      </c>
      <c r="Q220">
        <v>780</v>
      </c>
      <c r="R220">
        <v>156</v>
      </c>
      <c r="S220">
        <v>1854</v>
      </c>
      <c r="U220">
        <v>2010</v>
      </c>
    </row>
    <row r="221" spans="1:21" hidden="1" x14ac:dyDescent="0.3">
      <c r="A221" t="s">
        <v>114</v>
      </c>
      <c r="B221" t="s">
        <v>87</v>
      </c>
      <c r="C221" t="s">
        <v>37</v>
      </c>
      <c r="D221" t="s">
        <v>74</v>
      </c>
      <c r="E221" t="s">
        <v>81</v>
      </c>
      <c r="F221">
        <v>53</v>
      </c>
      <c r="G221">
        <v>97</v>
      </c>
      <c r="I221">
        <v>150</v>
      </c>
      <c r="J221">
        <v>26</v>
      </c>
      <c r="K221">
        <v>24</v>
      </c>
      <c r="M221">
        <v>50</v>
      </c>
      <c r="N221">
        <v>318</v>
      </c>
      <c r="O221">
        <v>582</v>
      </c>
      <c r="Q221">
        <v>900</v>
      </c>
      <c r="R221">
        <v>156</v>
      </c>
      <c r="S221">
        <v>144</v>
      </c>
      <c r="U221">
        <v>300</v>
      </c>
    </row>
    <row r="222" spans="1:21" hidden="1" x14ac:dyDescent="0.3">
      <c r="A222" t="s">
        <v>114</v>
      </c>
      <c r="B222" t="s">
        <v>87</v>
      </c>
      <c r="C222" t="s">
        <v>44</v>
      </c>
      <c r="D222" t="s">
        <v>74</v>
      </c>
      <c r="E222" t="s">
        <v>88</v>
      </c>
      <c r="F222">
        <v>468</v>
      </c>
      <c r="G222">
        <v>432</v>
      </c>
      <c r="I222">
        <v>900</v>
      </c>
      <c r="J222">
        <v>520</v>
      </c>
      <c r="K222">
        <v>480</v>
      </c>
      <c r="M222">
        <v>1000</v>
      </c>
      <c r="N222">
        <v>468</v>
      </c>
      <c r="O222">
        <v>432</v>
      </c>
      <c r="Q222">
        <v>900</v>
      </c>
      <c r="R222">
        <v>3120</v>
      </c>
      <c r="S222">
        <v>2880</v>
      </c>
      <c r="U222">
        <v>6000</v>
      </c>
    </row>
    <row r="223" spans="1:21" hidden="1" x14ac:dyDescent="0.3">
      <c r="A223" t="s">
        <v>114</v>
      </c>
      <c r="B223" t="s">
        <v>87</v>
      </c>
      <c r="C223" t="s">
        <v>44</v>
      </c>
      <c r="D223" t="s">
        <v>74</v>
      </c>
      <c r="E223" t="s">
        <v>81</v>
      </c>
      <c r="F223">
        <v>468</v>
      </c>
      <c r="G223">
        <v>432</v>
      </c>
      <c r="I223">
        <v>900</v>
      </c>
      <c r="J223">
        <v>520</v>
      </c>
      <c r="K223">
        <v>480</v>
      </c>
      <c r="M223">
        <v>1000</v>
      </c>
      <c r="N223">
        <v>468</v>
      </c>
      <c r="O223">
        <v>432</v>
      </c>
      <c r="Q223">
        <v>900</v>
      </c>
      <c r="R223">
        <v>3120</v>
      </c>
      <c r="S223">
        <v>2880</v>
      </c>
      <c r="U223">
        <v>6000</v>
      </c>
    </row>
    <row r="224" spans="1:21" hidden="1" x14ac:dyDescent="0.3">
      <c r="A224" t="s">
        <v>114</v>
      </c>
      <c r="B224" t="s">
        <v>87</v>
      </c>
      <c r="C224" t="s">
        <v>44</v>
      </c>
      <c r="D224" t="s">
        <v>74</v>
      </c>
      <c r="E224" t="s">
        <v>12</v>
      </c>
      <c r="F224">
        <v>468</v>
      </c>
      <c r="G224">
        <v>432</v>
      </c>
      <c r="I224">
        <v>900</v>
      </c>
      <c r="J224">
        <v>520</v>
      </c>
      <c r="K224">
        <v>480</v>
      </c>
      <c r="M224">
        <v>1000</v>
      </c>
      <c r="N224">
        <v>468</v>
      </c>
      <c r="O224">
        <v>432</v>
      </c>
      <c r="Q224">
        <v>900</v>
      </c>
      <c r="R224">
        <v>3120</v>
      </c>
      <c r="S224">
        <v>2880</v>
      </c>
      <c r="U224">
        <v>6000</v>
      </c>
    </row>
    <row r="225" spans="1:21" hidden="1" x14ac:dyDescent="0.3">
      <c r="A225" t="s">
        <v>114</v>
      </c>
      <c r="B225" t="s">
        <v>87</v>
      </c>
      <c r="C225" t="s">
        <v>51</v>
      </c>
      <c r="D225" t="s">
        <v>74</v>
      </c>
      <c r="E225" t="s">
        <v>88</v>
      </c>
      <c r="F225">
        <v>15</v>
      </c>
      <c r="G225">
        <v>14</v>
      </c>
      <c r="I225">
        <v>29</v>
      </c>
      <c r="J225">
        <v>38</v>
      </c>
      <c r="K225">
        <v>8</v>
      </c>
      <c r="M225">
        <v>46</v>
      </c>
      <c r="N225">
        <v>90</v>
      </c>
      <c r="O225">
        <v>84</v>
      </c>
      <c r="Q225">
        <v>174</v>
      </c>
      <c r="R225">
        <v>228</v>
      </c>
      <c r="S225">
        <v>48</v>
      </c>
      <c r="U225">
        <v>276</v>
      </c>
    </row>
    <row r="226" spans="1:21" hidden="1" x14ac:dyDescent="0.3">
      <c r="A226" t="s">
        <v>114</v>
      </c>
      <c r="B226" t="s">
        <v>87</v>
      </c>
      <c r="C226" t="s">
        <v>51</v>
      </c>
      <c r="D226" t="s">
        <v>74</v>
      </c>
      <c r="E226" t="s">
        <v>81</v>
      </c>
      <c r="F226">
        <v>16</v>
      </c>
      <c r="G226">
        <v>15</v>
      </c>
      <c r="I226">
        <v>31</v>
      </c>
      <c r="J226">
        <v>12</v>
      </c>
      <c r="K226">
        <v>7</v>
      </c>
      <c r="M226">
        <v>19</v>
      </c>
      <c r="N226">
        <v>96</v>
      </c>
      <c r="O226">
        <v>90</v>
      </c>
      <c r="Q226">
        <v>186</v>
      </c>
      <c r="R226">
        <v>72</v>
      </c>
      <c r="S226">
        <v>42</v>
      </c>
      <c r="U226">
        <v>114</v>
      </c>
    </row>
    <row r="227" spans="1:21" hidden="1" x14ac:dyDescent="0.3">
      <c r="A227" t="s">
        <v>114</v>
      </c>
      <c r="B227" t="s">
        <v>87</v>
      </c>
      <c r="C227" t="s">
        <v>46</v>
      </c>
      <c r="D227" t="s">
        <v>74</v>
      </c>
      <c r="E227" t="s">
        <v>88</v>
      </c>
      <c r="F227">
        <v>10</v>
      </c>
      <c r="G227">
        <v>10</v>
      </c>
      <c r="I227">
        <v>20</v>
      </c>
      <c r="J227">
        <v>9</v>
      </c>
      <c r="K227">
        <v>13</v>
      </c>
      <c r="M227">
        <v>22</v>
      </c>
      <c r="N227">
        <v>60</v>
      </c>
      <c r="O227">
        <v>60</v>
      </c>
      <c r="Q227">
        <v>120</v>
      </c>
      <c r="R227">
        <v>54</v>
      </c>
      <c r="S227">
        <v>78</v>
      </c>
      <c r="U227">
        <v>132</v>
      </c>
    </row>
    <row r="228" spans="1:21" hidden="1" x14ac:dyDescent="0.3">
      <c r="A228" t="s">
        <v>114</v>
      </c>
      <c r="B228" t="s">
        <v>87</v>
      </c>
      <c r="C228" t="s">
        <v>46</v>
      </c>
      <c r="D228" t="s">
        <v>74</v>
      </c>
      <c r="E228" t="s">
        <v>81</v>
      </c>
      <c r="F228">
        <v>10</v>
      </c>
      <c r="G228">
        <v>10</v>
      </c>
      <c r="I228">
        <v>20</v>
      </c>
      <c r="J228">
        <v>9</v>
      </c>
      <c r="K228">
        <v>13</v>
      </c>
      <c r="M228">
        <v>22</v>
      </c>
      <c r="N228">
        <v>60</v>
      </c>
      <c r="O228">
        <v>60</v>
      </c>
      <c r="Q228">
        <v>120</v>
      </c>
      <c r="R228">
        <v>54</v>
      </c>
      <c r="S228">
        <v>78</v>
      </c>
      <c r="U228">
        <v>132</v>
      </c>
    </row>
    <row r="229" spans="1:21" hidden="1" x14ac:dyDescent="0.3">
      <c r="A229" t="s">
        <v>114</v>
      </c>
      <c r="B229" t="s">
        <v>87</v>
      </c>
      <c r="C229" t="s">
        <v>46</v>
      </c>
      <c r="D229" t="s">
        <v>74</v>
      </c>
      <c r="E229" t="s">
        <v>12</v>
      </c>
      <c r="F229">
        <v>10</v>
      </c>
      <c r="G229">
        <v>10</v>
      </c>
      <c r="I229">
        <v>20</v>
      </c>
      <c r="J229">
        <v>9</v>
      </c>
      <c r="K229">
        <v>13</v>
      </c>
      <c r="M229">
        <v>22</v>
      </c>
      <c r="N229">
        <v>60</v>
      </c>
      <c r="O229">
        <v>60</v>
      </c>
      <c r="Q229">
        <v>120</v>
      </c>
      <c r="R229">
        <v>54</v>
      </c>
      <c r="S229">
        <v>78</v>
      </c>
      <c r="U229">
        <v>132</v>
      </c>
    </row>
    <row r="230" spans="1:21" hidden="1" x14ac:dyDescent="0.3">
      <c r="A230" t="s">
        <v>114</v>
      </c>
      <c r="B230" t="s">
        <v>89</v>
      </c>
      <c r="C230" t="s">
        <v>51</v>
      </c>
      <c r="D230" t="s">
        <v>42</v>
      </c>
      <c r="E230" t="s">
        <v>90</v>
      </c>
      <c r="F230">
        <v>2</v>
      </c>
      <c r="G230">
        <v>10</v>
      </c>
      <c r="I230">
        <v>12</v>
      </c>
      <c r="J230">
        <v>2</v>
      </c>
      <c r="K230">
        <v>10</v>
      </c>
      <c r="M230">
        <v>12</v>
      </c>
      <c r="N230">
        <v>2</v>
      </c>
      <c r="O230">
        <v>10</v>
      </c>
      <c r="Q230">
        <v>12</v>
      </c>
      <c r="R230">
        <v>2</v>
      </c>
      <c r="S230">
        <v>10</v>
      </c>
      <c r="U230">
        <v>12</v>
      </c>
    </row>
    <row r="231" spans="1:21" hidden="1" x14ac:dyDescent="0.3">
      <c r="A231" t="s">
        <v>114</v>
      </c>
      <c r="B231" t="s">
        <v>89</v>
      </c>
      <c r="C231" t="s">
        <v>51</v>
      </c>
      <c r="D231" t="s">
        <v>36</v>
      </c>
      <c r="E231" t="s">
        <v>91</v>
      </c>
      <c r="F231">
        <v>8</v>
      </c>
      <c r="G231">
        <v>14</v>
      </c>
      <c r="I231">
        <v>22</v>
      </c>
      <c r="J231">
        <v>8</v>
      </c>
      <c r="K231">
        <v>14</v>
      </c>
      <c r="M231">
        <v>22</v>
      </c>
      <c r="N231">
        <v>8</v>
      </c>
      <c r="O231">
        <v>14</v>
      </c>
      <c r="Q231">
        <v>22</v>
      </c>
      <c r="R231">
        <v>8</v>
      </c>
      <c r="S231">
        <v>14</v>
      </c>
      <c r="U231">
        <v>22</v>
      </c>
    </row>
    <row r="232" spans="1:21" hidden="1" x14ac:dyDescent="0.3">
      <c r="A232" t="s">
        <v>114</v>
      </c>
      <c r="B232" t="s">
        <v>89</v>
      </c>
      <c r="C232" t="s">
        <v>51</v>
      </c>
      <c r="D232" t="s">
        <v>62</v>
      </c>
      <c r="E232" t="s">
        <v>92</v>
      </c>
      <c r="F232">
        <v>3</v>
      </c>
      <c r="G232">
        <v>16</v>
      </c>
      <c r="I232">
        <v>19</v>
      </c>
      <c r="J232">
        <v>3</v>
      </c>
      <c r="K232">
        <v>16</v>
      </c>
      <c r="M232">
        <v>19</v>
      </c>
      <c r="N232">
        <v>3</v>
      </c>
      <c r="O232">
        <v>16</v>
      </c>
      <c r="Q232">
        <v>19</v>
      </c>
      <c r="R232">
        <v>3</v>
      </c>
      <c r="S232">
        <v>16</v>
      </c>
      <c r="U232">
        <v>19</v>
      </c>
    </row>
    <row r="233" spans="1:21" hidden="1" x14ac:dyDescent="0.3">
      <c r="A233" t="s">
        <v>114</v>
      </c>
      <c r="B233" t="s">
        <v>89</v>
      </c>
      <c r="C233" t="s">
        <v>51</v>
      </c>
      <c r="D233" t="s">
        <v>93</v>
      </c>
      <c r="E233" t="s">
        <v>94</v>
      </c>
      <c r="F233">
        <v>8</v>
      </c>
      <c r="G233">
        <v>13</v>
      </c>
      <c r="I233">
        <v>21</v>
      </c>
      <c r="J233">
        <v>8</v>
      </c>
      <c r="K233">
        <v>13</v>
      </c>
      <c r="M233">
        <v>21</v>
      </c>
      <c r="N233">
        <v>8</v>
      </c>
      <c r="O233">
        <v>13</v>
      </c>
      <c r="Q233">
        <v>21</v>
      </c>
      <c r="R233">
        <v>8</v>
      </c>
      <c r="S233">
        <v>13</v>
      </c>
      <c r="U233">
        <v>21</v>
      </c>
    </row>
    <row r="234" spans="1:21" ht="28.8" hidden="1" customHeight="1" x14ac:dyDescent="0.3">
      <c r="A234" t="s">
        <v>139</v>
      </c>
      <c r="B234" t="s">
        <v>115</v>
      </c>
      <c r="C234" t="s">
        <v>116</v>
      </c>
      <c r="D234" t="s">
        <v>100</v>
      </c>
      <c r="E234" t="s">
        <v>21</v>
      </c>
      <c r="F234">
        <v>75</v>
      </c>
      <c r="G234">
        <v>75</v>
      </c>
      <c r="H234">
        <v>45</v>
      </c>
      <c r="I234">
        <v>195</v>
      </c>
      <c r="J234">
        <v>20</v>
      </c>
      <c r="K234">
        <v>40</v>
      </c>
      <c r="L234">
        <v>20</v>
      </c>
      <c r="M234">
        <v>80</v>
      </c>
      <c r="N234">
        <v>450</v>
      </c>
      <c r="O234">
        <v>450</v>
      </c>
      <c r="P234">
        <v>270</v>
      </c>
      <c r="Q234">
        <v>1170</v>
      </c>
      <c r="R234">
        <v>170</v>
      </c>
      <c r="S234">
        <v>240</v>
      </c>
      <c r="T234">
        <v>160</v>
      </c>
      <c r="U234">
        <v>570</v>
      </c>
    </row>
    <row r="235" spans="1:21" hidden="1" x14ac:dyDescent="0.3">
      <c r="A235" t="s">
        <v>139</v>
      </c>
      <c r="B235" t="s">
        <v>129</v>
      </c>
      <c r="C235" t="s">
        <v>116</v>
      </c>
      <c r="D235" t="s">
        <v>36</v>
      </c>
      <c r="E235" t="s">
        <v>19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3</v>
      </c>
      <c r="N235">
        <v>0</v>
      </c>
      <c r="O235">
        <v>0</v>
      </c>
      <c r="P235">
        <v>0</v>
      </c>
      <c r="Q235">
        <v>0</v>
      </c>
      <c r="R235">
        <v>150</v>
      </c>
      <c r="S235">
        <v>100</v>
      </c>
      <c r="T235">
        <v>130</v>
      </c>
      <c r="U235">
        <v>380</v>
      </c>
    </row>
    <row r="236" spans="1:21" hidden="1" x14ac:dyDescent="0.3">
      <c r="A236" t="s">
        <v>139</v>
      </c>
      <c r="B236" t="s">
        <v>130</v>
      </c>
      <c r="C236" t="s">
        <v>116</v>
      </c>
      <c r="D236" t="s">
        <v>98</v>
      </c>
      <c r="E236" t="s">
        <v>17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200</v>
      </c>
      <c r="S236">
        <v>150</v>
      </c>
      <c r="T236">
        <v>80</v>
      </c>
      <c r="U236">
        <v>430</v>
      </c>
    </row>
    <row r="237" spans="1:21" hidden="1" x14ac:dyDescent="0.3">
      <c r="A237" t="s">
        <v>139</v>
      </c>
      <c r="B237" t="s">
        <v>131</v>
      </c>
      <c r="C237" t="s">
        <v>116</v>
      </c>
      <c r="D237" t="s">
        <v>74</v>
      </c>
      <c r="E237" t="s">
        <v>12</v>
      </c>
      <c r="F237">
        <v>0</v>
      </c>
      <c r="G237">
        <v>0</v>
      </c>
      <c r="H237">
        <v>0</v>
      </c>
      <c r="I237">
        <v>0</v>
      </c>
      <c r="J237">
        <v>25</v>
      </c>
      <c r="K237">
        <v>25</v>
      </c>
      <c r="L237">
        <v>20</v>
      </c>
      <c r="M237">
        <v>70</v>
      </c>
      <c r="N237">
        <v>0</v>
      </c>
      <c r="O237">
        <v>0</v>
      </c>
      <c r="P237">
        <v>0</v>
      </c>
      <c r="Q237">
        <v>0</v>
      </c>
      <c r="R237">
        <v>500</v>
      </c>
      <c r="S237">
        <v>900</v>
      </c>
      <c r="T237">
        <v>200</v>
      </c>
      <c r="U237">
        <v>1600</v>
      </c>
    </row>
    <row r="238" spans="1:21" hidden="1" x14ac:dyDescent="0.3">
      <c r="A238" t="s">
        <v>139</v>
      </c>
      <c r="B238" t="s">
        <v>132</v>
      </c>
      <c r="C238" t="s">
        <v>116</v>
      </c>
      <c r="D238" t="s">
        <v>47</v>
      </c>
      <c r="E238" t="s">
        <v>14</v>
      </c>
      <c r="F238">
        <v>0</v>
      </c>
      <c r="G238">
        <v>0</v>
      </c>
      <c r="H238">
        <v>0</v>
      </c>
      <c r="I238">
        <v>0</v>
      </c>
      <c r="J238">
        <v>30</v>
      </c>
      <c r="K238">
        <v>40</v>
      </c>
      <c r="L238">
        <v>20</v>
      </c>
      <c r="M238">
        <v>90</v>
      </c>
      <c r="N238">
        <v>0</v>
      </c>
      <c r="O238">
        <v>0</v>
      </c>
      <c r="P238">
        <v>0</v>
      </c>
      <c r="Q238">
        <v>0</v>
      </c>
      <c r="R238">
        <v>500</v>
      </c>
      <c r="S238">
        <v>600</v>
      </c>
      <c r="T238">
        <v>200</v>
      </c>
      <c r="U238">
        <v>1300</v>
      </c>
    </row>
    <row r="239" spans="1:21" hidden="1" x14ac:dyDescent="0.3">
      <c r="A239" t="s">
        <v>139</v>
      </c>
      <c r="B239" t="s">
        <v>133</v>
      </c>
      <c r="C239" t="s">
        <v>116</v>
      </c>
      <c r="D239" t="s">
        <v>42</v>
      </c>
      <c r="E239" t="s">
        <v>13</v>
      </c>
      <c r="F239">
        <v>0</v>
      </c>
      <c r="G239">
        <v>0</v>
      </c>
      <c r="H239">
        <v>0</v>
      </c>
      <c r="I239">
        <v>0</v>
      </c>
      <c r="J239">
        <v>35</v>
      </c>
      <c r="K239">
        <v>40</v>
      </c>
      <c r="L239">
        <v>20</v>
      </c>
      <c r="M239">
        <v>95</v>
      </c>
      <c r="N239">
        <v>0</v>
      </c>
      <c r="O239">
        <v>0</v>
      </c>
      <c r="P239">
        <v>0</v>
      </c>
      <c r="Q239">
        <v>0</v>
      </c>
      <c r="R239">
        <v>800</v>
      </c>
      <c r="S239">
        <v>1200</v>
      </c>
      <c r="T239">
        <v>400</v>
      </c>
      <c r="U239">
        <v>2400</v>
      </c>
    </row>
    <row r="240" spans="1:21" hidden="1" x14ac:dyDescent="0.3">
      <c r="A240" t="s">
        <v>139</v>
      </c>
      <c r="B240" t="s">
        <v>134</v>
      </c>
      <c r="C240" t="s">
        <v>116</v>
      </c>
      <c r="D240" t="s">
        <v>117</v>
      </c>
      <c r="E240" t="s">
        <v>118</v>
      </c>
      <c r="F240">
        <v>200</v>
      </c>
      <c r="G240">
        <v>45</v>
      </c>
      <c r="H240">
        <v>45</v>
      </c>
      <c r="I240">
        <v>290</v>
      </c>
      <c r="J240">
        <v>187</v>
      </c>
      <c r="K240">
        <v>120</v>
      </c>
      <c r="L240">
        <v>30</v>
      </c>
      <c r="M240">
        <v>337</v>
      </c>
      <c r="N240">
        <v>800</v>
      </c>
      <c r="O240">
        <v>1200</v>
      </c>
      <c r="P240">
        <v>0</v>
      </c>
      <c r="Q240">
        <v>2000</v>
      </c>
      <c r="R240">
        <v>1000</v>
      </c>
      <c r="S240">
        <v>900</v>
      </c>
      <c r="T240">
        <v>400</v>
      </c>
      <c r="U240">
        <v>2300</v>
      </c>
    </row>
    <row r="241" spans="1:21" hidden="1" x14ac:dyDescent="0.3">
      <c r="A241" t="s">
        <v>139</v>
      </c>
      <c r="B241" t="s">
        <v>135</v>
      </c>
      <c r="C241" t="s">
        <v>119</v>
      </c>
      <c r="D241" t="s">
        <v>117</v>
      </c>
      <c r="E241" t="s">
        <v>120</v>
      </c>
      <c r="F241">
        <v>200</v>
      </c>
      <c r="G241">
        <v>45</v>
      </c>
      <c r="H241">
        <v>45</v>
      </c>
      <c r="I241">
        <v>290</v>
      </c>
      <c r="J241">
        <v>89</v>
      </c>
      <c r="K241">
        <v>71</v>
      </c>
      <c r="L241">
        <v>52</v>
      </c>
      <c r="M241">
        <v>212</v>
      </c>
      <c r="N241">
        <v>800</v>
      </c>
      <c r="O241">
        <v>1200</v>
      </c>
      <c r="P241">
        <v>0</v>
      </c>
      <c r="Q241">
        <v>2000</v>
      </c>
      <c r="R241">
        <v>1200</v>
      </c>
      <c r="S241">
        <v>720</v>
      </c>
      <c r="T241">
        <v>250</v>
      </c>
      <c r="U241">
        <v>2170</v>
      </c>
    </row>
    <row r="242" spans="1:21" hidden="1" x14ac:dyDescent="0.3">
      <c r="A242" t="s">
        <v>139</v>
      </c>
      <c r="B242" t="s">
        <v>136</v>
      </c>
      <c r="C242" t="s">
        <v>119</v>
      </c>
      <c r="D242" t="s">
        <v>117</v>
      </c>
      <c r="E242" t="s">
        <v>121</v>
      </c>
      <c r="F242">
        <v>200</v>
      </c>
      <c r="G242">
        <v>45</v>
      </c>
      <c r="H242">
        <v>45</v>
      </c>
      <c r="I242">
        <v>290</v>
      </c>
      <c r="J242">
        <v>187</v>
      </c>
      <c r="K242">
        <v>120</v>
      </c>
      <c r="L242">
        <v>50</v>
      </c>
      <c r="M242">
        <v>357</v>
      </c>
      <c r="N242">
        <v>800</v>
      </c>
      <c r="O242">
        <v>1200</v>
      </c>
      <c r="P242">
        <v>0</v>
      </c>
      <c r="Q242">
        <v>2000</v>
      </c>
      <c r="R242">
        <v>1200</v>
      </c>
      <c r="S242">
        <v>720</v>
      </c>
      <c r="T242">
        <v>250</v>
      </c>
      <c r="U242">
        <v>2170</v>
      </c>
    </row>
    <row r="243" spans="1:21" hidden="1" x14ac:dyDescent="0.3">
      <c r="A243" t="s">
        <v>139</v>
      </c>
      <c r="B243" t="s">
        <v>137</v>
      </c>
      <c r="C243" t="s">
        <v>119</v>
      </c>
      <c r="D243" t="s">
        <v>101</v>
      </c>
      <c r="E243" t="s">
        <v>122</v>
      </c>
      <c r="F243">
        <v>200</v>
      </c>
      <c r="G243">
        <v>45</v>
      </c>
      <c r="H243">
        <v>45</v>
      </c>
      <c r="I243">
        <v>290</v>
      </c>
      <c r="J243">
        <v>140</v>
      </c>
      <c r="K243">
        <v>90</v>
      </c>
      <c r="L243">
        <v>74</v>
      </c>
      <c r="M243">
        <v>304</v>
      </c>
      <c r="N243">
        <v>270</v>
      </c>
      <c r="O243">
        <v>1740</v>
      </c>
      <c r="P243">
        <v>534</v>
      </c>
      <c r="Q243">
        <v>2544</v>
      </c>
      <c r="R243">
        <v>534</v>
      </c>
      <c r="S243">
        <v>420</v>
      </c>
      <c r="T243">
        <v>260</v>
      </c>
      <c r="U243">
        <v>1214</v>
      </c>
    </row>
    <row r="244" spans="1:21" hidden="1" x14ac:dyDescent="0.3">
      <c r="A244" t="s">
        <v>139</v>
      </c>
      <c r="B244" t="s">
        <v>138</v>
      </c>
      <c r="C244" t="s">
        <v>119</v>
      </c>
      <c r="D244" t="s">
        <v>101</v>
      </c>
      <c r="E244" t="s">
        <v>122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hidden="1" x14ac:dyDescent="0.3">
      <c r="A245" t="s">
        <v>139</v>
      </c>
      <c r="B245" t="s">
        <v>123</v>
      </c>
      <c r="C245" t="s">
        <v>50</v>
      </c>
      <c r="D245" t="s">
        <v>124</v>
      </c>
      <c r="E245" t="s">
        <v>125</v>
      </c>
      <c r="F245">
        <v>170</v>
      </c>
      <c r="G245">
        <v>220</v>
      </c>
      <c r="H245">
        <v>120</v>
      </c>
      <c r="I245">
        <v>510</v>
      </c>
      <c r="J245">
        <v>40</v>
      </c>
      <c r="K245">
        <v>60</v>
      </c>
      <c r="L245">
        <v>40</v>
      </c>
      <c r="M245">
        <v>140</v>
      </c>
      <c r="N245">
        <v>2500</v>
      </c>
      <c r="O245">
        <v>3500</v>
      </c>
      <c r="P245">
        <v>1500</v>
      </c>
      <c r="Q245">
        <v>7500</v>
      </c>
      <c r="R245">
        <v>100</v>
      </c>
      <c r="S245">
        <v>100</v>
      </c>
      <c r="T245">
        <v>50</v>
      </c>
      <c r="U245">
        <v>250</v>
      </c>
    </row>
    <row r="246" spans="1:21" hidden="1" x14ac:dyDescent="0.3">
      <c r="A246" t="s">
        <v>139</v>
      </c>
      <c r="B246" t="s">
        <v>126</v>
      </c>
      <c r="C246" t="s">
        <v>51</v>
      </c>
    </row>
    <row r="247" spans="1:21" hidden="1" x14ac:dyDescent="0.3">
      <c r="A247" t="s">
        <v>139</v>
      </c>
      <c r="B247" t="s">
        <v>126</v>
      </c>
      <c r="C247" t="s">
        <v>50</v>
      </c>
    </row>
    <row r="248" spans="1:21" hidden="1" x14ac:dyDescent="0.3">
      <c r="A248" t="s">
        <v>139</v>
      </c>
      <c r="B248" t="s">
        <v>126</v>
      </c>
      <c r="C248" t="s">
        <v>127</v>
      </c>
    </row>
    <row r="249" spans="1:21" hidden="1" x14ac:dyDescent="0.3">
      <c r="A249" t="s">
        <v>139</v>
      </c>
      <c r="B249" t="s">
        <v>128</v>
      </c>
      <c r="C249" t="s">
        <v>77</v>
      </c>
    </row>
    <row r="250" spans="1:21" hidden="1" x14ac:dyDescent="0.3">
      <c r="A250" t="s">
        <v>139</v>
      </c>
      <c r="B250" t="s">
        <v>128</v>
      </c>
      <c r="C250" t="s">
        <v>51</v>
      </c>
    </row>
    <row r="251" spans="1:21" hidden="1" x14ac:dyDescent="0.3">
      <c r="A251" t="s">
        <v>235</v>
      </c>
      <c r="B251" t="s">
        <v>140</v>
      </c>
      <c r="C251" t="s">
        <v>141</v>
      </c>
      <c r="D251" t="s">
        <v>47</v>
      </c>
      <c r="E251" t="s">
        <v>47</v>
      </c>
      <c r="F251">
        <v>2526</v>
      </c>
      <c r="G251">
        <v>3478</v>
      </c>
      <c r="H251">
        <v>0</v>
      </c>
      <c r="I251">
        <v>6004</v>
      </c>
      <c r="J251">
        <v>150</v>
      </c>
      <c r="K251">
        <v>468</v>
      </c>
      <c r="L251">
        <v>0</v>
      </c>
      <c r="M251">
        <v>618</v>
      </c>
      <c r="N251">
        <v>12630</v>
      </c>
      <c r="O251">
        <v>17390</v>
      </c>
      <c r="P251">
        <v>0</v>
      </c>
      <c r="Q251">
        <v>30020</v>
      </c>
      <c r="R251">
        <v>750</v>
      </c>
      <c r="S251">
        <v>2340</v>
      </c>
      <c r="T251">
        <v>0</v>
      </c>
      <c r="U251">
        <v>3090</v>
      </c>
    </row>
    <row r="252" spans="1:21" hidden="1" x14ac:dyDescent="0.3">
      <c r="A252" t="s">
        <v>235</v>
      </c>
      <c r="B252" t="s">
        <v>178</v>
      </c>
      <c r="C252" t="s">
        <v>141</v>
      </c>
      <c r="D252" t="s">
        <v>74</v>
      </c>
      <c r="E252" t="s">
        <v>142</v>
      </c>
      <c r="F252">
        <v>2245</v>
      </c>
      <c r="G252">
        <v>3088</v>
      </c>
      <c r="H252">
        <v>0</v>
      </c>
      <c r="I252">
        <v>5333</v>
      </c>
      <c r="J252">
        <v>120</v>
      </c>
      <c r="K252">
        <v>387</v>
      </c>
      <c r="L252">
        <v>0</v>
      </c>
      <c r="M252">
        <v>507</v>
      </c>
      <c r="N252">
        <v>11225</v>
      </c>
      <c r="O252">
        <v>15440</v>
      </c>
      <c r="P252">
        <v>0</v>
      </c>
      <c r="Q252">
        <v>26665</v>
      </c>
      <c r="R252">
        <v>600</v>
      </c>
      <c r="S252">
        <v>1935</v>
      </c>
      <c r="T252">
        <v>0</v>
      </c>
      <c r="U252">
        <v>2535</v>
      </c>
    </row>
    <row r="253" spans="1:21" hidden="1" x14ac:dyDescent="0.3">
      <c r="A253" t="s">
        <v>235</v>
      </c>
      <c r="B253" t="s">
        <v>179</v>
      </c>
      <c r="C253" t="s">
        <v>141</v>
      </c>
      <c r="D253" t="s">
        <v>74</v>
      </c>
      <c r="E253" t="s">
        <v>143</v>
      </c>
      <c r="F253">
        <v>2806</v>
      </c>
      <c r="G253">
        <v>3861</v>
      </c>
      <c r="H253">
        <v>0</v>
      </c>
      <c r="I253">
        <v>6667</v>
      </c>
      <c r="J253">
        <v>86</v>
      </c>
      <c r="K253">
        <v>109</v>
      </c>
      <c r="L253">
        <v>0</v>
      </c>
      <c r="M253">
        <v>195</v>
      </c>
      <c r="N253">
        <v>14030</v>
      </c>
      <c r="O253">
        <v>19305</v>
      </c>
      <c r="P253">
        <v>0</v>
      </c>
      <c r="Q253">
        <v>33335</v>
      </c>
      <c r="R253">
        <v>430</v>
      </c>
      <c r="S253">
        <v>545</v>
      </c>
      <c r="T253">
        <v>0</v>
      </c>
      <c r="U253">
        <v>975</v>
      </c>
    </row>
    <row r="254" spans="1:21" hidden="1" x14ac:dyDescent="0.3">
      <c r="A254" t="s">
        <v>235</v>
      </c>
      <c r="B254" t="s">
        <v>180</v>
      </c>
      <c r="C254" t="s">
        <v>141</v>
      </c>
      <c r="D254" t="s">
        <v>97</v>
      </c>
      <c r="E254" t="s">
        <v>144</v>
      </c>
      <c r="F254">
        <v>728</v>
      </c>
      <c r="G254">
        <v>1003</v>
      </c>
      <c r="H254">
        <v>0</v>
      </c>
      <c r="I254">
        <v>1731</v>
      </c>
      <c r="J254">
        <v>67</v>
      </c>
      <c r="K254">
        <v>112</v>
      </c>
      <c r="L254">
        <v>0</v>
      </c>
      <c r="M254">
        <v>179</v>
      </c>
      <c r="N254">
        <v>3640</v>
      </c>
      <c r="O254">
        <v>5015</v>
      </c>
      <c r="P254">
        <v>0</v>
      </c>
      <c r="Q254">
        <v>8655</v>
      </c>
      <c r="R254">
        <v>335</v>
      </c>
      <c r="S254">
        <v>560</v>
      </c>
      <c r="T254">
        <v>0</v>
      </c>
      <c r="U254">
        <v>895</v>
      </c>
    </row>
    <row r="255" spans="1:21" hidden="1" x14ac:dyDescent="0.3">
      <c r="A255" t="s">
        <v>235</v>
      </c>
      <c r="B255" t="s">
        <v>181</v>
      </c>
      <c r="C255" t="s">
        <v>141</v>
      </c>
      <c r="D255" t="s">
        <v>97</v>
      </c>
      <c r="E255" t="s">
        <v>145</v>
      </c>
      <c r="F255">
        <v>936</v>
      </c>
      <c r="G255">
        <v>1620</v>
      </c>
      <c r="H255">
        <v>0</v>
      </c>
      <c r="I255">
        <v>2556</v>
      </c>
      <c r="J255">
        <v>45</v>
      </c>
      <c r="K255">
        <v>220</v>
      </c>
      <c r="L255">
        <v>0</v>
      </c>
      <c r="M255">
        <v>265</v>
      </c>
      <c r="N255">
        <v>4680</v>
      </c>
      <c r="O255">
        <v>8100</v>
      </c>
      <c r="P255">
        <v>0</v>
      </c>
      <c r="Q255">
        <v>12780</v>
      </c>
      <c r="R255">
        <v>225</v>
      </c>
      <c r="S255">
        <v>1100</v>
      </c>
      <c r="T255">
        <v>0</v>
      </c>
      <c r="U255">
        <v>1325</v>
      </c>
    </row>
    <row r="256" spans="1:21" hidden="1" x14ac:dyDescent="0.3">
      <c r="A256" t="s">
        <v>235</v>
      </c>
      <c r="B256" t="s">
        <v>182</v>
      </c>
      <c r="C256" t="s">
        <v>141</v>
      </c>
      <c r="D256" t="s">
        <v>97</v>
      </c>
      <c r="E256" t="s">
        <v>146</v>
      </c>
      <c r="F256">
        <v>1094</v>
      </c>
      <c r="G256">
        <v>1506</v>
      </c>
      <c r="H256">
        <v>0</v>
      </c>
      <c r="I256">
        <v>2600</v>
      </c>
      <c r="J256">
        <v>102</v>
      </c>
      <c r="K256">
        <v>245</v>
      </c>
      <c r="L256">
        <v>0</v>
      </c>
      <c r="M256">
        <v>347</v>
      </c>
      <c r="N256">
        <v>5470</v>
      </c>
      <c r="O256">
        <v>7530</v>
      </c>
      <c r="P256">
        <v>0</v>
      </c>
      <c r="Q256">
        <v>13000</v>
      </c>
      <c r="R256">
        <v>510</v>
      </c>
      <c r="S256">
        <v>1225</v>
      </c>
      <c r="T256">
        <v>0</v>
      </c>
      <c r="U256">
        <v>1735</v>
      </c>
    </row>
    <row r="257" spans="1:21" hidden="1" x14ac:dyDescent="0.3">
      <c r="A257" t="s">
        <v>235</v>
      </c>
      <c r="B257" t="s">
        <v>183</v>
      </c>
      <c r="C257" t="s">
        <v>147</v>
      </c>
      <c r="D257" t="s">
        <v>47</v>
      </c>
      <c r="E257" t="s">
        <v>47</v>
      </c>
      <c r="F257">
        <v>3367</v>
      </c>
      <c r="G257">
        <v>4631</v>
      </c>
      <c r="H257">
        <v>0</v>
      </c>
      <c r="I257">
        <v>7998</v>
      </c>
      <c r="J257">
        <v>159</v>
      </c>
      <c r="K257">
        <v>481</v>
      </c>
      <c r="L257">
        <v>0</v>
      </c>
      <c r="M257">
        <v>640</v>
      </c>
      <c r="N257">
        <v>16835</v>
      </c>
      <c r="O257">
        <v>23155</v>
      </c>
      <c r="P257">
        <v>0</v>
      </c>
      <c r="Q257">
        <v>39990</v>
      </c>
      <c r="R257">
        <v>795</v>
      </c>
      <c r="S257">
        <v>2405</v>
      </c>
      <c r="T257">
        <v>0</v>
      </c>
      <c r="U257">
        <v>3200</v>
      </c>
    </row>
    <row r="258" spans="1:21" hidden="1" x14ac:dyDescent="0.3">
      <c r="A258" t="s">
        <v>235</v>
      </c>
      <c r="B258" t="s">
        <v>184</v>
      </c>
      <c r="C258" t="s">
        <v>147</v>
      </c>
      <c r="D258" t="s">
        <v>47</v>
      </c>
      <c r="E258" t="s">
        <v>148</v>
      </c>
      <c r="F258">
        <v>2074</v>
      </c>
      <c r="G258">
        <v>3825</v>
      </c>
      <c r="H258">
        <v>0</v>
      </c>
      <c r="I258">
        <v>5899</v>
      </c>
      <c r="J258">
        <v>82</v>
      </c>
      <c r="K258">
        <v>129</v>
      </c>
      <c r="L258">
        <v>0</v>
      </c>
      <c r="M258">
        <v>211</v>
      </c>
      <c r="N258">
        <v>10370</v>
      </c>
      <c r="O258">
        <v>19125</v>
      </c>
      <c r="P258">
        <v>0</v>
      </c>
      <c r="Q258">
        <v>29495</v>
      </c>
      <c r="R258">
        <v>410</v>
      </c>
      <c r="S258">
        <v>645</v>
      </c>
      <c r="T258">
        <v>0</v>
      </c>
      <c r="U258">
        <v>1055</v>
      </c>
    </row>
    <row r="259" spans="1:21" hidden="1" x14ac:dyDescent="0.3">
      <c r="A259" t="s">
        <v>235</v>
      </c>
      <c r="B259" t="s">
        <v>185</v>
      </c>
      <c r="C259" t="s">
        <v>147</v>
      </c>
      <c r="D259" t="s">
        <v>74</v>
      </c>
      <c r="E259" t="s">
        <v>142</v>
      </c>
      <c r="F259">
        <v>2018</v>
      </c>
      <c r="G259">
        <v>2782</v>
      </c>
      <c r="H259">
        <v>0</v>
      </c>
      <c r="I259">
        <v>4800</v>
      </c>
      <c r="J259">
        <v>46</v>
      </c>
      <c r="K259">
        <v>137</v>
      </c>
      <c r="L259">
        <v>0</v>
      </c>
      <c r="M259">
        <v>183</v>
      </c>
      <c r="N259">
        <v>10090</v>
      </c>
      <c r="O259">
        <v>13910</v>
      </c>
      <c r="P259">
        <v>0</v>
      </c>
      <c r="Q259">
        <v>24000</v>
      </c>
      <c r="R259">
        <v>230</v>
      </c>
      <c r="S259">
        <v>685</v>
      </c>
      <c r="T259">
        <v>0</v>
      </c>
      <c r="U259">
        <v>915</v>
      </c>
    </row>
    <row r="260" spans="1:21" hidden="1" x14ac:dyDescent="0.3">
      <c r="A260" t="s">
        <v>235</v>
      </c>
      <c r="B260" t="s">
        <v>186</v>
      </c>
      <c r="C260" t="s">
        <v>147</v>
      </c>
      <c r="D260" t="s">
        <v>74</v>
      </c>
      <c r="E260" t="s">
        <v>143</v>
      </c>
      <c r="F260">
        <v>2357</v>
      </c>
      <c r="G260">
        <v>3246</v>
      </c>
      <c r="H260">
        <v>0</v>
      </c>
      <c r="I260">
        <v>5603</v>
      </c>
      <c r="J260">
        <v>51</v>
      </c>
      <c r="K260">
        <v>275</v>
      </c>
      <c r="L260">
        <v>0</v>
      </c>
      <c r="M260">
        <v>326</v>
      </c>
      <c r="N260">
        <v>11785</v>
      </c>
      <c r="O260">
        <v>16230</v>
      </c>
      <c r="P260">
        <v>0</v>
      </c>
      <c r="Q260">
        <v>28015</v>
      </c>
      <c r="R260">
        <v>255</v>
      </c>
      <c r="S260">
        <v>1375</v>
      </c>
      <c r="T260">
        <v>0</v>
      </c>
      <c r="U260">
        <v>1630</v>
      </c>
    </row>
    <row r="261" spans="1:21" hidden="1" x14ac:dyDescent="0.3">
      <c r="A261" t="s">
        <v>235</v>
      </c>
      <c r="B261" t="s">
        <v>187</v>
      </c>
      <c r="C261" t="s">
        <v>147</v>
      </c>
      <c r="D261" t="s">
        <v>74</v>
      </c>
      <c r="E261" t="s">
        <v>149</v>
      </c>
      <c r="F261">
        <v>1947</v>
      </c>
      <c r="G261">
        <v>3053</v>
      </c>
      <c r="H261">
        <v>0</v>
      </c>
      <c r="I261">
        <v>5000</v>
      </c>
      <c r="J261">
        <v>60</v>
      </c>
      <c r="K261">
        <v>138</v>
      </c>
      <c r="L261">
        <v>0</v>
      </c>
      <c r="M261">
        <v>198</v>
      </c>
      <c r="N261">
        <v>9735</v>
      </c>
      <c r="O261">
        <v>15267</v>
      </c>
      <c r="P261">
        <v>0</v>
      </c>
      <c r="Q261">
        <v>25002</v>
      </c>
      <c r="R261">
        <v>600</v>
      </c>
      <c r="S261">
        <v>692</v>
      </c>
      <c r="T261">
        <v>0</v>
      </c>
      <c r="U261">
        <v>1292</v>
      </c>
    </row>
    <row r="262" spans="1:21" hidden="1" x14ac:dyDescent="0.3">
      <c r="A262" t="s">
        <v>235</v>
      </c>
      <c r="B262" t="s">
        <v>188</v>
      </c>
      <c r="C262" t="s">
        <v>147</v>
      </c>
      <c r="D262" t="s">
        <v>97</v>
      </c>
      <c r="E262" t="s">
        <v>144</v>
      </c>
      <c r="F262">
        <v>1019</v>
      </c>
      <c r="G262">
        <v>1402</v>
      </c>
      <c r="H262">
        <v>0</v>
      </c>
      <c r="I262">
        <v>2421</v>
      </c>
      <c r="J262">
        <v>420</v>
      </c>
      <c r="K262">
        <v>673</v>
      </c>
      <c r="L262">
        <v>0</v>
      </c>
      <c r="M262">
        <v>1093</v>
      </c>
      <c r="N262">
        <v>5097</v>
      </c>
      <c r="O262">
        <v>7014</v>
      </c>
      <c r="P262">
        <v>0</v>
      </c>
      <c r="Q262">
        <v>12111</v>
      </c>
      <c r="R262">
        <v>2100</v>
      </c>
      <c r="S262">
        <v>3364</v>
      </c>
      <c r="T262">
        <v>0</v>
      </c>
      <c r="U262">
        <v>5464</v>
      </c>
    </row>
    <row r="263" spans="1:21" hidden="1" x14ac:dyDescent="0.3">
      <c r="A263" t="s">
        <v>235</v>
      </c>
      <c r="B263" t="s">
        <v>189</v>
      </c>
      <c r="C263" t="s">
        <v>147</v>
      </c>
      <c r="D263" t="s">
        <v>97</v>
      </c>
      <c r="E263" t="s">
        <v>145</v>
      </c>
      <c r="F263">
        <v>806</v>
      </c>
      <c r="G263">
        <v>1452</v>
      </c>
      <c r="H263">
        <v>0</v>
      </c>
      <c r="I263">
        <v>2258</v>
      </c>
      <c r="J263">
        <v>0</v>
      </c>
      <c r="K263">
        <v>0</v>
      </c>
      <c r="L263">
        <v>0</v>
      </c>
      <c r="M263">
        <v>0</v>
      </c>
      <c r="N263">
        <v>4030</v>
      </c>
      <c r="O263">
        <v>7260</v>
      </c>
      <c r="P263">
        <v>0</v>
      </c>
      <c r="Q263">
        <v>11290</v>
      </c>
      <c r="R263">
        <v>0</v>
      </c>
      <c r="S263">
        <v>0</v>
      </c>
      <c r="T263">
        <v>0</v>
      </c>
      <c r="U263">
        <v>0</v>
      </c>
    </row>
    <row r="264" spans="1:21" hidden="1" x14ac:dyDescent="0.3">
      <c r="A264" t="s">
        <v>235</v>
      </c>
      <c r="B264" t="s">
        <v>190</v>
      </c>
      <c r="C264" t="s">
        <v>147</v>
      </c>
      <c r="D264" t="s">
        <v>150</v>
      </c>
      <c r="E264" t="s">
        <v>151</v>
      </c>
      <c r="F264">
        <v>1063</v>
      </c>
      <c r="G264">
        <v>1230</v>
      </c>
      <c r="H264">
        <v>0</v>
      </c>
      <c r="I264">
        <v>2293</v>
      </c>
      <c r="J264">
        <v>0</v>
      </c>
      <c r="K264">
        <v>0</v>
      </c>
      <c r="L264">
        <v>0</v>
      </c>
      <c r="M264">
        <v>0</v>
      </c>
      <c r="N264">
        <v>5315</v>
      </c>
      <c r="O264">
        <v>6150</v>
      </c>
      <c r="P264">
        <v>0</v>
      </c>
      <c r="Q264">
        <v>11465</v>
      </c>
      <c r="R264">
        <v>0</v>
      </c>
      <c r="S264">
        <v>0</v>
      </c>
      <c r="T264">
        <v>0</v>
      </c>
      <c r="U264">
        <v>0</v>
      </c>
    </row>
    <row r="265" spans="1:21" hidden="1" x14ac:dyDescent="0.3">
      <c r="A265" t="s">
        <v>235</v>
      </c>
      <c r="B265" t="s">
        <v>191</v>
      </c>
      <c r="C265" t="s">
        <v>152</v>
      </c>
      <c r="D265" t="s">
        <v>47</v>
      </c>
      <c r="E265" t="s">
        <v>153</v>
      </c>
      <c r="F265">
        <v>3291</v>
      </c>
      <c r="G265">
        <v>4527</v>
      </c>
      <c r="H265">
        <v>0</v>
      </c>
      <c r="I265">
        <v>7818</v>
      </c>
      <c r="J265">
        <v>800</v>
      </c>
      <c r="K265">
        <v>1250</v>
      </c>
      <c r="L265">
        <v>0</v>
      </c>
      <c r="M265">
        <v>2050</v>
      </c>
      <c r="N265">
        <v>16455</v>
      </c>
      <c r="O265">
        <v>22635</v>
      </c>
      <c r="P265">
        <v>0</v>
      </c>
      <c r="Q265">
        <v>39090</v>
      </c>
      <c r="R265">
        <v>4000</v>
      </c>
      <c r="S265">
        <v>6250</v>
      </c>
      <c r="T265">
        <v>0</v>
      </c>
      <c r="U265">
        <v>10250</v>
      </c>
    </row>
    <row r="266" spans="1:21" hidden="1" x14ac:dyDescent="0.3">
      <c r="A266" t="s">
        <v>235</v>
      </c>
      <c r="B266" t="s">
        <v>192</v>
      </c>
      <c r="C266" t="s">
        <v>152</v>
      </c>
      <c r="D266" t="s">
        <v>74</v>
      </c>
      <c r="E266" t="s">
        <v>149</v>
      </c>
      <c r="F266">
        <v>2105</v>
      </c>
      <c r="G266">
        <v>2895</v>
      </c>
      <c r="H266">
        <v>0</v>
      </c>
      <c r="I266">
        <v>5000</v>
      </c>
      <c r="J266">
        <v>0</v>
      </c>
      <c r="K266">
        <v>0</v>
      </c>
      <c r="L266">
        <v>0</v>
      </c>
      <c r="M266">
        <v>0</v>
      </c>
      <c r="N266">
        <v>10525</v>
      </c>
      <c r="O266">
        <v>14475</v>
      </c>
      <c r="P266">
        <v>0</v>
      </c>
      <c r="Q266">
        <v>25000</v>
      </c>
      <c r="R266">
        <v>0</v>
      </c>
      <c r="S266">
        <v>0</v>
      </c>
      <c r="T266">
        <v>0</v>
      </c>
      <c r="U266">
        <v>0</v>
      </c>
    </row>
    <row r="267" spans="1:21" hidden="1" x14ac:dyDescent="0.3">
      <c r="A267" t="s">
        <v>235</v>
      </c>
      <c r="B267" t="s">
        <v>193</v>
      </c>
      <c r="C267" t="s">
        <v>154</v>
      </c>
      <c r="D267" t="s">
        <v>47</v>
      </c>
      <c r="E267" t="s">
        <v>153</v>
      </c>
      <c r="F267">
        <v>3789</v>
      </c>
      <c r="G267">
        <v>5210</v>
      </c>
      <c r="H267">
        <v>0</v>
      </c>
      <c r="I267">
        <v>8999</v>
      </c>
      <c r="J267">
        <v>0</v>
      </c>
      <c r="K267">
        <v>0</v>
      </c>
      <c r="L267">
        <v>0</v>
      </c>
      <c r="M267">
        <v>0</v>
      </c>
      <c r="N267">
        <v>18945</v>
      </c>
      <c r="O267">
        <v>26055</v>
      </c>
      <c r="P267">
        <v>0</v>
      </c>
      <c r="Q267">
        <v>45000</v>
      </c>
      <c r="R267">
        <v>0</v>
      </c>
      <c r="S267">
        <v>0</v>
      </c>
      <c r="T267">
        <v>0</v>
      </c>
      <c r="U267">
        <v>0</v>
      </c>
    </row>
    <row r="268" spans="1:21" hidden="1" x14ac:dyDescent="0.3">
      <c r="A268" t="s">
        <v>235</v>
      </c>
      <c r="B268" t="s">
        <v>194</v>
      </c>
      <c r="C268" t="s">
        <v>154</v>
      </c>
      <c r="D268" t="s">
        <v>47</v>
      </c>
      <c r="E268" t="s">
        <v>148</v>
      </c>
      <c r="F268">
        <v>2210</v>
      </c>
      <c r="G268">
        <v>3751</v>
      </c>
      <c r="H268">
        <v>0</v>
      </c>
      <c r="I268">
        <v>5961</v>
      </c>
      <c r="J268">
        <v>0</v>
      </c>
      <c r="K268">
        <v>0</v>
      </c>
      <c r="L268">
        <v>0</v>
      </c>
      <c r="M268">
        <v>0</v>
      </c>
      <c r="N268">
        <v>10600</v>
      </c>
      <c r="O268">
        <v>18755</v>
      </c>
      <c r="P268">
        <v>0</v>
      </c>
      <c r="Q268">
        <v>29355</v>
      </c>
      <c r="R268">
        <v>0</v>
      </c>
      <c r="S268">
        <v>0</v>
      </c>
      <c r="T268">
        <v>0</v>
      </c>
      <c r="U268">
        <v>0</v>
      </c>
    </row>
    <row r="269" spans="1:21" hidden="1" x14ac:dyDescent="0.3">
      <c r="A269" t="s">
        <v>235</v>
      </c>
      <c r="B269" t="s">
        <v>195</v>
      </c>
      <c r="C269" t="s">
        <v>154</v>
      </c>
      <c r="D269" t="s">
        <v>74</v>
      </c>
      <c r="E269" t="s">
        <v>142</v>
      </c>
      <c r="F269">
        <v>1516</v>
      </c>
      <c r="G269">
        <v>2084</v>
      </c>
      <c r="H269">
        <v>0</v>
      </c>
      <c r="I269">
        <v>3600</v>
      </c>
      <c r="J269">
        <v>0</v>
      </c>
      <c r="K269">
        <v>0</v>
      </c>
      <c r="L269">
        <v>0</v>
      </c>
      <c r="M269">
        <v>0</v>
      </c>
      <c r="N269">
        <v>7580</v>
      </c>
      <c r="O269">
        <v>10420</v>
      </c>
      <c r="P269">
        <v>0</v>
      </c>
      <c r="Q269">
        <v>18000</v>
      </c>
      <c r="R269">
        <v>0</v>
      </c>
      <c r="S269">
        <v>0</v>
      </c>
      <c r="T269">
        <v>0</v>
      </c>
      <c r="U269">
        <v>0</v>
      </c>
    </row>
    <row r="270" spans="1:21" hidden="1" x14ac:dyDescent="0.3">
      <c r="A270" t="s">
        <v>235</v>
      </c>
      <c r="B270" t="s">
        <v>196</v>
      </c>
      <c r="C270" t="s">
        <v>154</v>
      </c>
      <c r="D270" t="s">
        <v>74</v>
      </c>
      <c r="E270" t="s">
        <v>143</v>
      </c>
      <c r="F270">
        <v>2183</v>
      </c>
      <c r="G270">
        <v>2767</v>
      </c>
      <c r="H270">
        <v>0</v>
      </c>
      <c r="I270">
        <v>4950</v>
      </c>
      <c r="J270">
        <v>0</v>
      </c>
      <c r="K270">
        <v>0</v>
      </c>
      <c r="L270">
        <v>0</v>
      </c>
      <c r="M270">
        <v>0</v>
      </c>
      <c r="N270">
        <v>10915</v>
      </c>
      <c r="O270">
        <v>13835</v>
      </c>
      <c r="P270">
        <v>0</v>
      </c>
      <c r="Q270">
        <v>24750</v>
      </c>
      <c r="R270">
        <v>0</v>
      </c>
      <c r="S270">
        <v>0</v>
      </c>
      <c r="T270">
        <v>0</v>
      </c>
      <c r="U270">
        <v>0</v>
      </c>
    </row>
    <row r="271" spans="1:21" hidden="1" x14ac:dyDescent="0.3">
      <c r="A271" t="s">
        <v>235</v>
      </c>
      <c r="B271" t="s">
        <v>197</v>
      </c>
      <c r="C271" t="s">
        <v>154</v>
      </c>
      <c r="D271" t="s">
        <v>74</v>
      </c>
      <c r="E271" t="s">
        <v>149</v>
      </c>
      <c r="F271">
        <v>1597</v>
      </c>
      <c r="G271">
        <v>2203</v>
      </c>
      <c r="H271">
        <v>0</v>
      </c>
      <c r="I271">
        <v>3800</v>
      </c>
      <c r="J271">
        <v>0</v>
      </c>
      <c r="K271">
        <v>0</v>
      </c>
      <c r="L271">
        <v>0</v>
      </c>
      <c r="M271">
        <v>0</v>
      </c>
      <c r="N271">
        <v>7985</v>
      </c>
      <c r="O271">
        <v>11015</v>
      </c>
      <c r="P271">
        <v>0</v>
      </c>
      <c r="Q271">
        <v>19000</v>
      </c>
      <c r="R271">
        <v>0</v>
      </c>
      <c r="S271">
        <v>0</v>
      </c>
      <c r="T271">
        <v>0</v>
      </c>
      <c r="U271">
        <v>0</v>
      </c>
    </row>
    <row r="272" spans="1:21" hidden="1" x14ac:dyDescent="0.3">
      <c r="A272" t="s">
        <v>235</v>
      </c>
      <c r="B272" t="s">
        <v>198</v>
      </c>
      <c r="C272" t="s">
        <v>155</v>
      </c>
      <c r="D272" t="s">
        <v>47</v>
      </c>
      <c r="E272" t="s">
        <v>47</v>
      </c>
      <c r="F272">
        <v>2476</v>
      </c>
      <c r="G272">
        <v>2800</v>
      </c>
      <c r="H272">
        <v>0</v>
      </c>
      <c r="I272">
        <v>5276</v>
      </c>
      <c r="J272">
        <v>645</v>
      </c>
      <c r="K272">
        <v>867</v>
      </c>
      <c r="L272">
        <v>0</v>
      </c>
      <c r="M272">
        <v>1512</v>
      </c>
      <c r="N272">
        <v>12380</v>
      </c>
      <c r="O272">
        <v>14000</v>
      </c>
      <c r="P272">
        <v>0</v>
      </c>
      <c r="Q272">
        <v>26380</v>
      </c>
      <c r="R272">
        <v>3225</v>
      </c>
      <c r="S272">
        <v>0</v>
      </c>
      <c r="T272">
        <v>0</v>
      </c>
      <c r="U272">
        <v>3225</v>
      </c>
    </row>
    <row r="273" spans="1:21" hidden="1" x14ac:dyDescent="0.3">
      <c r="A273" t="s">
        <v>235</v>
      </c>
      <c r="B273" t="s">
        <v>199</v>
      </c>
      <c r="C273" t="s">
        <v>155</v>
      </c>
      <c r="D273" t="s">
        <v>74</v>
      </c>
      <c r="E273" t="s">
        <v>74</v>
      </c>
      <c r="F273">
        <v>1263</v>
      </c>
      <c r="G273">
        <v>1737</v>
      </c>
      <c r="H273">
        <v>0</v>
      </c>
      <c r="I273">
        <v>3000</v>
      </c>
      <c r="J273">
        <v>0</v>
      </c>
      <c r="K273">
        <v>0</v>
      </c>
      <c r="L273">
        <v>0</v>
      </c>
      <c r="M273">
        <v>0</v>
      </c>
      <c r="N273">
        <v>6315</v>
      </c>
      <c r="O273">
        <v>8685</v>
      </c>
      <c r="P273">
        <v>0</v>
      </c>
      <c r="Q273">
        <v>15000</v>
      </c>
      <c r="R273">
        <v>0</v>
      </c>
      <c r="S273">
        <v>0</v>
      </c>
      <c r="T273">
        <v>0</v>
      </c>
      <c r="U273">
        <v>0</v>
      </c>
    </row>
    <row r="274" spans="1:21" hidden="1" x14ac:dyDescent="0.3">
      <c r="A274" t="s">
        <v>235</v>
      </c>
      <c r="B274" t="s">
        <v>200</v>
      </c>
      <c r="C274" t="s">
        <v>155</v>
      </c>
      <c r="D274" t="s">
        <v>97</v>
      </c>
      <c r="E274" t="s">
        <v>97</v>
      </c>
      <c r="F274">
        <v>3165</v>
      </c>
      <c r="G274">
        <v>4352</v>
      </c>
      <c r="H274">
        <v>0</v>
      </c>
      <c r="I274">
        <v>7517</v>
      </c>
      <c r="J274">
        <v>0</v>
      </c>
      <c r="K274">
        <v>0</v>
      </c>
      <c r="L274">
        <v>0</v>
      </c>
      <c r="M274">
        <v>0</v>
      </c>
      <c r="N274">
        <v>15825</v>
      </c>
      <c r="O274">
        <v>21760</v>
      </c>
      <c r="P274">
        <v>0</v>
      </c>
      <c r="Q274">
        <v>37585</v>
      </c>
      <c r="R274">
        <v>0</v>
      </c>
      <c r="S274">
        <v>0</v>
      </c>
      <c r="T274">
        <v>0</v>
      </c>
      <c r="U274">
        <v>0</v>
      </c>
    </row>
    <row r="275" spans="1:21" hidden="1" x14ac:dyDescent="0.3">
      <c r="A275" t="s">
        <v>235</v>
      </c>
      <c r="B275" t="s">
        <v>201</v>
      </c>
      <c r="C275" t="s">
        <v>155</v>
      </c>
      <c r="D275" t="s">
        <v>150</v>
      </c>
      <c r="E275" t="s">
        <v>151</v>
      </c>
      <c r="F275">
        <v>200</v>
      </c>
      <c r="G275">
        <v>420</v>
      </c>
      <c r="H275">
        <v>0</v>
      </c>
      <c r="I275">
        <v>620</v>
      </c>
      <c r="J275">
        <v>0</v>
      </c>
      <c r="K275">
        <v>0</v>
      </c>
      <c r="L275">
        <v>0</v>
      </c>
      <c r="M275">
        <v>0</v>
      </c>
      <c r="N275">
        <v>1002</v>
      </c>
      <c r="O275">
        <v>2107</v>
      </c>
      <c r="P275">
        <v>0</v>
      </c>
      <c r="Q275">
        <v>3109</v>
      </c>
      <c r="R275">
        <v>0</v>
      </c>
      <c r="S275">
        <v>0</v>
      </c>
      <c r="T275">
        <v>0</v>
      </c>
      <c r="U275">
        <v>0</v>
      </c>
    </row>
    <row r="276" spans="1:21" hidden="1" x14ac:dyDescent="0.3">
      <c r="A276" t="s">
        <v>235</v>
      </c>
      <c r="B276" t="s">
        <v>202</v>
      </c>
      <c r="C276" t="s">
        <v>51</v>
      </c>
      <c r="D276" t="s">
        <v>47</v>
      </c>
      <c r="E276" t="s">
        <v>47</v>
      </c>
      <c r="F276">
        <v>757</v>
      </c>
      <c r="G276">
        <v>1046</v>
      </c>
      <c r="H276">
        <v>0</v>
      </c>
      <c r="I276">
        <v>1803</v>
      </c>
      <c r="J276">
        <v>0</v>
      </c>
      <c r="K276">
        <v>0</v>
      </c>
      <c r="L276">
        <v>0</v>
      </c>
      <c r="M276">
        <v>0</v>
      </c>
      <c r="N276">
        <v>3785</v>
      </c>
      <c r="O276">
        <v>5230</v>
      </c>
      <c r="P276">
        <v>0</v>
      </c>
      <c r="Q276">
        <v>9015</v>
      </c>
      <c r="R276">
        <v>0</v>
      </c>
      <c r="S276">
        <v>0</v>
      </c>
      <c r="T276">
        <v>0</v>
      </c>
      <c r="U276">
        <v>0</v>
      </c>
    </row>
    <row r="277" spans="1:21" hidden="1" x14ac:dyDescent="0.3">
      <c r="A277" t="s">
        <v>235</v>
      </c>
      <c r="B277" t="s">
        <v>203</v>
      </c>
      <c r="C277" t="s">
        <v>51</v>
      </c>
      <c r="D277" t="s">
        <v>74</v>
      </c>
      <c r="E277" t="s">
        <v>74</v>
      </c>
      <c r="F277">
        <v>428</v>
      </c>
      <c r="G277">
        <v>840</v>
      </c>
      <c r="H277">
        <v>0</v>
      </c>
      <c r="I277">
        <v>1268</v>
      </c>
      <c r="J277">
        <v>0</v>
      </c>
      <c r="K277">
        <v>0</v>
      </c>
      <c r="L277">
        <v>0</v>
      </c>
      <c r="M277">
        <v>0</v>
      </c>
      <c r="N277">
        <v>2140</v>
      </c>
      <c r="O277">
        <v>4200</v>
      </c>
      <c r="P277">
        <v>0</v>
      </c>
      <c r="Q277">
        <v>6340</v>
      </c>
      <c r="R277">
        <v>0</v>
      </c>
      <c r="S277">
        <v>0</v>
      </c>
      <c r="T277">
        <v>0</v>
      </c>
      <c r="U277">
        <v>0</v>
      </c>
    </row>
    <row r="278" spans="1:21" hidden="1" x14ac:dyDescent="0.3">
      <c r="A278" t="s">
        <v>235</v>
      </c>
      <c r="B278" t="s">
        <v>204</v>
      </c>
      <c r="C278" t="s">
        <v>51</v>
      </c>
      <c r="D278" t="s">
        <v>97</v>
      </c>
      <c r="E278" t="s">
        <v>97</v>
      </c>
      <c r="F278">
        <v>520</v>
      </c>
      <c r="G278">
        <v>1021</v>
      </c>
      <c r="H278">
        <v>0</v>
      </c>
      <c r="I278">
        <v>1541</v>
      </c>
      <c r="J278">
        <v>0</v>
      </c>
      <c r="K278">
        <v>0</v>
      </c>
      <c r="L278">
        <v>0</v>
      </c>
      <c r="M278">
        <v>0</v>
      </c>
      <c r="N278">
        <v>2603</v>
      </c>
      <c r="O278">
        <v>5109</v>
      </c>
      <c r="P278">
        <v>0</v>
      </c>
      <c r="Q278">
        <v>7712</v>
      </c>
      <c r="R278">
        <v>0</v>
      </c>
      <c r="S278">
        <v>0</v>
      </c>
      <c r="T278">
        <v>0</v>
      </c>
      <c r="U278">
        <v>0</v>
      </c>
    </row>
    <row r="279" spans="1:21" hidden="1" x14ac:dyDescent="0.3">
      <c r="A279" t="s">
        <v>235</v>
      </c>
      <c r="B279" t="s">
        <v>205</v>
      </c>
      <c r="C279" t="s">
        <v>51</v>
      </c>
      <c r="D279" t="s">
        <v>150</v>
      </c>
      <c r="E279" t="s">
        <v>151</v>
      </c>
      <c r="F279">
        <v>120</v>
      </c>
      <c r="G279">
        <v>200</v>
      </c>
      <c r="H279">
        <v>0</v>
      </c>
      <c r="I279">
        <v>320</v>
      </c>
      <c r="J279">
        <v>0</v>
      </c>
      <c r="K279">
        <v>0</v>
      </c>
      <c r="L279">
        <v>0</v>
      </c>
      <c r="M279">
        <v>0</v>
      </c>
      <c r="N279">
        <v>602</v>
      </c>
      <c r="O279">
        <v>1007</v>
      </c>
      <c r="P279">
        <v>0</v>
      </c>
      <c r="Q279">
        <v>1609</v>
      </c>
      <c r="R279">
        <v>0</v>
      </c>
      <c r="S279">
        <v>0</v>
      </c>
      <c r="T279">
        <v>0</v>
      </c>
      <c r="U279">
        <v>0</v>
      </c>
    </row>
    <row r="280" spans="1:21" hidden="1" x14ac:dyDescent="0.3">
      <c r="A280" t="s">
        <v>235</v>
      </c>
      <c r="B280" t="s">
        <v>206</v>
      </c>
      <c r="C280" t="s">
        <v>156</v>
      </c>
      <c r="D280" t="s">
        <v>47</v>
      </c>
      <c r="E280" t="s">
        <v>47</v>
      </c>
      <c r="F280">
        <v>5473</v>
      </c>
      <c r="G280">
        <v>7527</v>
      </c>
      <c r="H280">
        <v>0</v>
      </c>
      <c r="I280">
        <v>13000</v>
      </c>
      <c r="J280">
        <v>1215</v>
      </c>
      <c r="K280">
        <v>2433</v>
      </c>
      <c r="L280">
        <v>0</v>
      </c>
      <c r="M280">
        <v>3648</v>
      </c>
      <c r="N280">
        <v>27365</v>
      </c>
      <c r="O280">
        <v>37635</v>
      </c>
      <c r="P280">
        <v>0</v>
      </c>
      <c r="Q280">
        <v>65000</v>
      </c>
      <c r="R280">
        <v>6075</v>
      </c>
      <c r="S280">
        <v>0</v>
      </c>
      <c r="T280">
        <v>0</v>
      </c>
      <c r="U280">
        <v>6075</v>
      </c>
    </row>
    <row r="281" spans="1:21" hidden="1" x14ac:dyDescent="0.3">
      <c r="A281" t="s">
        <v>235</v>
      </c>
      <c r="B281" t="s">
        <v>207</v>
      </c>
      <c r="C281" t="s">
        <v>156</v>
      </c>
      <c r="D281" t="s">
        <v>74</v>
      </c>
      <c r="E281" t="s">
        <v>74</v>
      </c>
      <c r="F281">
        <v>4209</v>
      </c>
      <c r="G281">
        <v>5790</v>
      </c>
      <c r="H281">
        <v>0</v>
      </c>
      <c r="I281">
        <v>9999</v>
      </c>
      <c r="J281">
        <v>400</v>
      </c>
      <c r="K281">
        <v>771</v>
      </c>
      <c r="L281">
        <v>0</v>
      </c>
      <c r="M281">
        <v>1171</v>
      </c>
      <c r="N281">
        <v>21045</v>
      </c>
      <c r="O281">
        <v>28950</v>
      </c>
      <c r="P281">
        <v>0</v>
      </c>
      <c r="Q281">
        <v>49995</v>
      </c>
      <c r="R281">
        <v>2000</v>
      </c>
      <c r="S281">
        <v>0</v>
      </c>
      <c r="T281">
        <v>0</v>
      </c>
      <c r="U281">
        <v>2000</v>
      </c>
    </row>
    <row r="282" spans="1:21" hidden="1" x14ac:dyDescent="0.3">
      <c r="A282" t="s">
        <v>235</v>
      </c>
      <c r="B282" t="s">
        <v>208</v>
      </c>
      <c r="C282" t="s">
        <v>156</v>
      </c>
      <c r="D282" t="s">
        <v>97</v>
      </c>
      <c r="E282" t="s">
        <v>97</v>
      </c>
      <c r="F282">
        <v>3157</v>
      </c>
      <c r="G282">
        <v>6843</v>
      </c>
      <c r="H282">
        <v>0</v>
      </c>
      <c r="I282">
        <v>10000</v>
      </c>
      <c r="J282">
        <v>526</v>
      </c>
      <c r="K282">
        <v>887</v>
      </c>
      <c r="L282">
        <v>0</v>
      </c>
      <c r="M282">
        <v>1413</v>
      </c>
      <c r="N282">
        <v>15785</v>
      </c>
      <c r="O282">
        <v>34215</v>
      </c>
      <c r="P282">
        <v>0</v>
      </c>
      <c r="Q282">
        <v>50000</v>
      </c>
      <c r="R282">
        <v>2630</v>
      </c>
      <c r="S282">
        <v>0</v>
      </c>
      <c r="T282">
        <v>0</v>
      </c>
      <c r="U282">
        <v>2630</v>
      </c>
    </row>
    <row r="283" spans="1:21" hidden="1" x14ac:dyDescent="0.3">
      <c r="A283" t="s">
        <v>235</v>
      </c>
      <c r="B283" t="s">
        <v>157</v>
      </c>
      <c r="C283" t="s">
        <v>158</v>
      </c>
      <c r="D283" t="s">
        <v>74</v>
      </c>
      <c r="E283" t="s">
        <v>74</v>
      </c>
      <c r="F283">
        <v>450</v>
      </c>
      <c r="G283">
        <v>850</v>
      </c>
      <c r="H283">
        <v>0</v>
      </c>
      <c r="I283">
        <v>1300</v>
      </c>
      <c r="J283">
        <v>176</v>
      </c>
      <c r="K283">
        <v>228</v>
      </c>
      <c r="L283">
        <v>0</v>
      </c>
      <c r="M283">
        <v>404</v>
      </c>
      <c r="N283">
        <v>2250</v>
      </c>
      <c r="O283">
        <v>4250</v>
      </c>
      <c r="P283">
        <v>0</v>
      </c>
      <c r="Q283">
        <v>6500</v>
      </c>
      <c r="R283">
        <v>880</v>
      </c>
      <c r="S283">
        <v>1140</v>
      </c>
      <c r="T283">
        <v>0</v>
      </c>
      <c r="U283">
        <v>2020</v>
      </c>
    </row>
    <row r="284" spans="1:21" hidden="1" x14ac:dyDescent="0.3">
      <c r="A284" t="s">
        <v>235</v>
      </c>
      <c r="B284" t="s">
        <v>209</v>
      </c>
      <c r="C284" t="s">
        <v>158</v>
      </c>
      <c r="D284" t="s">
        <v>159</v>
      </c>
      <c r="E284" t="s">
        <v>159</v>
      </c>
      <c r="F284">
        <v>220</v>
      </c>
      <c r="G284">
        <v>960</v>
      </c>
      <c r="H284">
        <v>0</v>
      </c>
      <c r="I284">
        <v>1180</v>
      </c>
      <c r="J284">
        <v>34</v>
      </c>
      <c r="K284">
        <v>108</v>
      </c>
      <c r="L284">
        <v>0</v>
      </c>
      <c r="M284">
        <v>142</v>
      </c>
      <c r="N284">
        <v>1100</v>
      </c>
      <c r="O284">
        <v>4800</v>
      </c>
      <c r="P284">
        <v>0</v>
      </c>
      <c r="Q284">
        <v>5900</v>
      </c>
      <c r="R284">
        <v>170</v>
      </c>
      <c r="S284">
        <v>540</v>
      </c>
      <c r="T284">
        <v>0</v>
      </c>
      <c r="U284">
        <v>710</v>
      </c>
    </row>
    <row r="285" spans="1:21" hidden="1" x14ac:dyDescent="0.3">
      <c r="A285" t="s">
        <v>235</v>
      </c>
      <c r="B285" t="s">
        <v>210</v>
      </c>
      <c r="C285" t="s">
        <v>158</v>
      </c>
      <c r="D285" t="s">
        <v>98</v>
      </c>
      <c r="E285" t="s">
        <v>98</v>
      </c>
      <c r="F285">
        <v>316</v>
      </c>
      <c r="G285">
        <v>1020</v>
      </c>
      <c r="H285">
        <v>0</v>
      </c>
      <c r="I285">
        <v>1336</v>
      </c>
      <c r="J285">
        <v>56</v>
      </c>
      <c r="K285">
        <v>94</v>
      </c>
      <c r="L285">
        <v>0</v>
      </c>
      <c r="M285">
        <v>150</v>
      </c>
      <c r="N285">
        <v>1580</v>
      </c>
      <c r="O285">
        <v>5100</v>
      </c>
      <c r="P285">
        <v>0</v>
      </c>
      <c r="Q285">
        <v>6680</v>
      </c>
      <c r="R285">
        <v>280</v>
      </c>
      <c r="S285">
        <v>470</v>
      </c>
      <c r="T285">
        <v>0</v>
      </c>
      <c r="U285">
        <v>750</v>
      </c>
    </row>
    <row r="286" spans="1:21" hidden="1" x14ac:dyDescent="0.3">
      <c r="A286" t="s">
        <v>235</v>
      </c>
      <c r="B286" t="s">
        <v>211</v>
      </c>
      <c r="C286" t="s">
        <v>158</v>
      </c>
      <c r="D286" t="s">
        <v>93</v>
      </c>
      <c r="E286" t="s">
        <v>93</v>
      </c>
      <c r="F286">
        <v>185</v>
      </c>
      <c r="G286">
        <v>630</v>
      </c>
      <c r="H286">
        <v>0</v>
      </c>
      <c r="I286">
        <v>815</v>
      </c>
      <c r="J286">
        <v>83</v>
      </c>
      <c r="K286">
        <v>116</v>
      </c>
      <c r="L286">
        <v>0</v>
      </c>
      <c r="M286">
        <v>199</v>
      </c>
      <c r="N286">
        <v>925</v>
      </c>
      <c r="O286">
        <v>3150</v>
      </c>
      <c r="P286">
        <v>0</v>
      </c>
      <c r="Q286">
        <v>4075</v>
      </c>
      <c r="R286">
        <v>415</v>
      </c>
      <c r="S286">
        <v>580</v>
      </c>
      <c r="T286">
        <v>0</v>
      </c>
      <c r="U286">
        <v>995</v>
      </c>
    </row>
    <row r="287" spans="1:21" hidden="1" x14ac:dyDescent="0.3">
      <c r="A287" t="s">
        <v>235</v>
      </c>
      <c r="B287" t="s">
        <v>212</v>
      </c>
      <c r="C287" t="s">
        <v>160</v>
      </c>
      <c r="D287" t="s">
        <v>74</v>
      </c>
      <c r="E287" t="s">
        <v>74</v>
      </c>
      <c r="F287">
        <v>142</v>
      </c>
      <c r="G287">
        <v>480</v>
      </c>
      <c r="H287">
        <v>0</v>
      </c>
      <c r="I287">
        <v>622</v>
      </c>
      <c r="J287">
        <v>0</v>
      </c>
      <c r="K287">
        <v>0</v>
      </c>
      <c r="L287">
        <v>0</v>
      </c>
      <c r="M287">
        <v>0</v>
      </c>
      <c r="N287">
        <v>710</v>
      </c>
      <c r="O287">
        <v>2400</v>
      </c>
      <c r="P287">
        <v>0</v>
      </c>
      <c r="Q287">
        <v>3110</v>
      </c>
      <c r="R287">
        <v>0</v>
      </c>
      <c r="S287">
        <v>0</v>
      </c>
      <c r="T287">
        <v>0</v>
      </c>
      <c r="U287">
        <v>0</v>
      </c>
    </row>
    <row r="288" spans="1:21" hidden="1" x14ac:dyDescent="0.3">
      <c r="A288" t="s">
        <v>235</v>
      </c>
      <c r="B288" t="s">
        <v>213</v>
      </c>
      <c r="C288" t="s">
        <v>160</v>
      </c>
      <c r="D288" t="s">
        <v>159</v>
      </c>
      <c r="E288" t="s">
        <v>159</v>
      </c>
      <c r="F288">
        <v>98</v>
      </c>
      <c r="G288">
        <v>220</v>
      </c>
      <c r="H288">
        <v>0</v>
      </c>
      <c r="I288">
        <v>318</v>
      </c>
      <c r="J288">
        <v>46</v>
      </c>
      <c r="K288">
        <v>82</v>
      </c>
      <c r="L288">
        <v>0</v>
      </c>
      <c r="M288">
        <v>128</v>
      </c>
      <c r="N288">
        <v>490</v>
      </c>
      <c r="O288">
        <v>1100</v>
      </c>
      <c r="P288">
        <v>0</v>
      </c>
      <c r="Q288">
        <v>1590</v>
      </c>
      <c r="R288">
        <v>230</v>
      </c>
      <c r="S288">
        <v>410</v>
      </c>
      <c r="T288">
        <v>0</v>
      </c>
      <c r="U288">
        <v>640</v>
      </c>
    </row>
    <row r="289" spans="1:21" hidden="1" x14ac:dyDescent="0.3">
      <c r="A289" t="s">
        <v>235</v>
      </c>
      <c r="B289" t="s">
        <v>214</v>
      </c>
      <c r="C289" t="s">
        <v>160</v>
      </c>
      <c r="D289" t="s">
        <v>98</v>
      </c>
      <c r="E289" t="s">
        <v>98</v>
      </c>
      <c r="F289">
        <v>102</v>
      </c>
      <c r="G289">
        <v>324</v>
      </c>
      <c r="H289">
        <v>0</v>
      </c>
      <c r="I289">
        <v>426</v>
      </c>
      <c r="J289">
        <v>23</v>
      </c>
      <c r="K289">
        <v>74</v>
      </c>
      <c r="L289">
        <v>0</v>
      </c>
      <c r="M289">
        <v>97</v>
      </c>
      <c r="N289">
        <v>510</v>
      </c>
      <c r="O289">
        <v>1620</v>
      </c>
      <c r="P289">
        <v>0</v>
      </c>
      <c r="Q289">
        <v>2130</v>
      </c>
      <c r="R289">
        <v>115</v>
      </c>
      <c r="S289">
        <v>370</v>
      </c>
      <c r="T289">
        <v>0</v>
      </c>
      <c r="U289">
        <v>485</v>
      </c>
    </row>
    <row r="290" spans="1:21" hidden="1" x14ac:dyDescent="0.3">
      <c r="A290" t="s">
        <v>235</v>
      </c>
      <c r="B290" t="s">
        <v>215</v>
      </c>
      <c r="C290" t="s">
        <v>160</v>
      </c>
      <c r="D290" t="s">
        <v>93</v>
      </c>
      <c r="E290" t="s">
        <v>93</v>
      </c>
      <c r="F290">
        <v>74</v>
      </c>
      <c r="G290">
        <v>180</v>
      </c>
      <c r="H290">
        <v>0</v>
      </c>
      <c r="I290">
        <v>254</v>
      </c>
      <c r="J290">
        <v>12</v>
      </c>
      <c r="K290">
        <v>38</v>
      </c>
      <c r="L290">
        <v>0</v>
      </c>
      <c r="M290">
        <v>50</v>
      </c>
      <c r="N290">
        <v>370</v>
      </c>
      <c r="O290">
        <v>900</v>
      </c>
      <c r="P290">
        <v>0</v>
      </c>
      <c r="Q290">
        <v>1270</v>
      </c>
      <c r="R290">
        <v>60</v>
      </c>
      <c r="S290">
        <v>190</v>
      </c>
      <c r="T290">
        <v>0</v>
      </c>
      <c r="U290">
        <v>250</v>
      </c>
    </row>
    <row r="291" spans="1:21" hidden="1" x14ac:dyDescent="0.3">
      <c r="A291" t="s">
        <v>235</v>
      </c>
      <c r="B291" t="s">
        <v>216</v>
      </c>
      <c r="C291" t="s">
        <v>51</v>
      </c>
      <c r="D291" t="s">
        <v>74</v>
      </c>
      <c r="E291" t="s">
        <v>74</v>
      </c>
      <c r="F291">
        <v>50</v>
      </c>
      <c r="G291">
        <v>216</v>
      </c>
      <c r="H291">
        <v>0</v>
      </c>
      <c r="I291">
        <v>266</v>
      </c>
      <c r="J291">
        <v>18</v>
      </c>
      <c r="K291">
        <v>114</v>
      </c>
      <c r="L291">
        <v>0</v>
      </c>
      <c r="M291">
        <v>132</v>
      </c>
      <c r="N291">
        <v>250</v>
      </c>
      <c r="O291">
        <v>1080</v>
      </c>
      <c r="P291">
        <v>0</v>
      </c>
      <c r="Q291">
        <v>1330</v>
      </c>
      <c r="R291">
        <v>90</v>
      </c>
      <c r="S291">
        <v>570</v>
      </c>
      <c r="T291">
        <v>0</v>
      </c>
      <c r="U291">
        <v>660</v>
      </c>
    </row>
    <row r="292" spans="1:21" hidden="1" x14ac:dyDescent="0.3">
      <c r="A292" t="s">
        <v>235</v>
      </c>
      <c r="B292" t="s">
        <v>217</v>
      </c>
      <c r="C292" t="s">
        <v>51</v>
      </c>
      <c r="D292" t="s">
        <v>159</v>
      </c>
      <c r="E292" t="s">
        <v>159</v>
      </c>
      <c r="F292">
        <v>80</v>
      </c>
      <c r="G292">
        <v>143</v>
      </c>
      <c r="H292">
        <v>0</v>
      </c>
      <c r="I292">
        <v>223</v>
      </c>
      <c r="J292">
        <v>24</v>
      </c>
      <c r="K292">
        <v>56</v>
      </c>
      <c r="L292">
        <v>0</v>
      </c>
      <c r="M292">
        <v>80</v>
      </c>
      <c r="N292">
        <v>400</v>
      </c>
      <c r="O292">
        <v>715</v>
      </c>
      <c r="P292">
        <v>0</v>
      </c>
      <c r="Q292">
        <v>1115</v>
      </c>
      <c r="R292">
        <v>120</v>
      </c>
      <c r="S292">
        <v>280</v>
      </c>
      <c r="T292">
        <v>0</v>
      </c>
      <c r="U292">
        <v>400</v>
      </c>
    </row>
    <row r="293" spans="1:21" hidden="1" x14ac:dyDescent="0.3">
      <c r="A293" t="s">
        <v>235</v>
      </c>
      <c r="B293" t="s">
        <v>218</v>
      </c>
      <c r="C293" t="s">
        <v>51</v>
      </c>
      <c r="D293" t="s">
        <v>98</v>
      </c>
      <c r="E293" t="s">
        <v>98</v>
      </c>
      <c r="F293">
        <v>40</v>
      </c>
      <c r="G293">
        <v>96</v>
      </c>
      <c r="H293">
        <v>0</v>
      </c>
      <c r="I293">
        <v>136</v>
      </c>
      <c r="J293">
        <v>15</v>
      </c>
      <c r="K293">
        <v>34</v>
      </c>
      <c r="L293">
        <v>0</v>
      </c>
      <c r="M293">
        <v>49</v>
      </c>
      <c r="N293">
        <v>200</v>
      </c>
      <c r="O293">
        <v>480</v>
      </c>
      <c r="P293">
        <v>0</v>
      </c>
      <c r="Q293">
        <v>680</v>
      </c>
      <c r="R293">
        <v>75</v>
      </c>
      <c r="S293">
        <v>170</v>
      </c>
      <c r="T293">
        <v>0</v>
      </c>
      <c r="U293">
        <v>245</v>
      </c>
    </row>
    <row r="294" spans="1:21" hidden="1" x14ac:dyDescent="0.3">
      <c r="A294" t="s">
        <v>235</v>
      </c>
      <c r="B294" t="s">
        <v>219</v>
      </c>
      <c r="C294" t="s">
        <v>51</v>
      </c>
      <c r="D294" t="s">
        <v>93</v>
      </c>
      <c r="E294" t="s">
        <v>93</v>
      </c>
      <c r="F294">
        <v>25</v>
      </c>
      <c r="G294">
        <v>80</v>
      </c>
      <c r="H294">
        <v>0</v>
      </c>
      <c r="I294">
        <v>105</v>
      </c>
      <c r="J294">
        <v>11</v>
      </c>
      <c r="K294">
        <v>28</v>
      </c>
      <c r="L294">
        <v>0</v>
      </c>
      <c r="M294">
        <v>39</v>
      </c>
      <c r="N294">
        <v>125</v>
      </c>
      <c r="O294">
        <v>400</v>
      </c>
      <c r="P294">
        <v>0</v>
      </c>
      <c r="Q294">
        <v>525</v>
      </c>
      <c r="R294">
        <v>55</v>
      </c>
      <c r="S294">
        <v>140</v>
      </c>
      <c r="T294">
        <v>0</v>
      </c>
      <c r="U294">
        <v>195</v>
      </c>
    </row>
    <row r="295" spans="1:21" hidden="1" x14ac:dyDescent="0.3">
      <c r="A295" t="s">
        <v>235</v>
      </c>
      <c r="B295" t="s">
        <v>161</v>
      </c>
      <c r="C295" t="s">
        <v>162</v>
      </c>
      <c r="D295" t="s">
        <v>74</v>
      </c>
      <c r="E295" t="s">
        <v>163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hidden="1" x14ac:dyDescent="0.3">
      <c r="A296" t="s">
        <v>235</v>
      </c>
      <c r="B296" t="s">
        <v>220</v>
      </c>
      <c r="C296" t="s">
        <v>162</v>
      </c>
      <c r="D296" t="s">
        <v>74</v>
      </c>
      <c r="E296" t="s">
        <v>164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hidden="1" x14ac:dyDescent="0.3">
      <c r="A297" t="s">
        <v>235</v>
      </c>
      <c r="B297" t="s">
        <v>221</v>
      </c>
      <c r="C297" t="s">
        <v>162</v>
      </c>
      <c r="D297" t="s">
        <v>47</v>
      </c>
      <c r="E297" t="s">
        <v>165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hidden="1" x14ac:dyDescent="0.3">
      <c r="A298" t="s">
        <v>235</v>
      </c>
      <c r="B298" t="s">
        <v>222</v>
      </c>
      <c r="C298" t="s">
        <v>166</v>
      </c>
      <c r="D298" t="s">
        <v>74</v>
      </c>
      <c r="E298" t="s">
        <v>163</v>
      </c>
      <c r="F298">
        <v>5</v>
      </c>
      <c r="G298">
        <v>5</v>
      </c>
      <c r="H298">
        <v>0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25</v>
      </c>
      <c r="O298">
        <v>40</v>
      </c>
      <c r="P298">
        <v>0</v>
      </c>
      <c r="Q298">
        <v>65</v>
      </c>
      <c r="R298">
        <v>0</v>
      </c>
      <c r="S298">
        <v>0</v>
      </c>
      <c r="T298">
        <v>0</v>
      </c>
      <c r="U298">
        <v>0</v>
      </c>
    </row>
    <row r="299" spans="1:21" hidden="1" x14ac:dyDescent="0.3">
      <c r="A299" t="s">
        <v>235</v>
      </c>
      <c r="B299" t="s">
        <v>223</v>
      </c>
      <c r="C299" t="s">
        <v>166</v>
      </c>
      <c r="D299" t="s">
        <v>74</v>
      </c>
      <c r="E299" t="s">
        <v>164</v>
      </c>
      <c r="F299">
        <v>5</v>
      </c>
      <c r="G299">
        <v>5</v>
      </c>
      <c r="H299">
        <v>0</v>
      </c>
      <c r="I299">
        <v>10</v>
      </c>
      <c r="J299">
        <v>0</v>
      </c>
      <c r="K299">
        <v>0</v>
      </c>
      <c r="L299">
        <v>0</v>
      </c>
      <c r="M299">
        <v>0</v>
      </c>
      <c r="N299">
        <v>25</v>
      </c>
      <c r="O299">
        <v>40</v>
      </c>
      <c r="P299">
        <v>0</v>
      </c>
      <c r="Q299">
        <v>65</v>
      </c>
      <c r="R299">
        <v>0</v>
      </c>
      <c r="S299">
        <v>0</v>
      </c>
      <c r="T299">
        <v>0</v>
      </c>
      <c r="U299">
        <v>0</v>
      </c>
    </row>
    <row r="300" spans="1:21" hidden="1" x14ac:dyDescent="0.3">
      <c r="A300" t="s">
        <v>235</v>
      </c>
      <c r="B300" t="s">
        <v>224</v>
      </c>
      <c r="C300" t="s">
        <v>166</v>
      </c>
      <c r="D300" t="s">
        <v>47</v>
      </c>
      <c r="E300" t="s">
        <v>165</v>
      </c>
      <c r="F300">
        <v>10</v>
      </c>
      <c r="G300">
        <v>10</v>
      </c>
      <c r="H300">
        <v>0</v>
      </c>
      <c r="I300">
        <v>20</v>
      </c>
      <c r="J300">
        <v>0</v>
      </c>
      <c r="K300">
        <v>0</v>
      </c>
      <c r="L300">
        <v>0</v>
      </c>
      <c r="M300">
        <v>0</v>
      </c>
      <c r="N300">
        <v>50</v>
      </c>
      <c r="O300">
        <v>65</v>
      </c>
      <c r="P300">
        <v>0</v>
      </c>
      <c r="Q300">
        <v>115</v>
      </c>
      <c r="R300">
        <v>0</v>
      </c>
      <c r="S300">
        <v>0</v>
      </c>
      <c r="T300">
        <v>0</v>
      </c>
      <c r="U300">
        <v>0</v>
      </c>
    </row>
    <row r="301" spans="1:21" hidden="1" x14ac:dyDescent="0.3">
      <c r="A301" t="s">
        <v>235</v>
      </c>
      <c r="B301" t="s">
        <v>225</v>
      </c>
      <c r="C301" t="s">
        <v>167</v>
      </c>
      <c r="D301" t="s">
        <v>74</v>
      </c>
      <c r="E301" t="s">
        <v>163</v>
      </c>
      <c r="F301">
        <v>20</v>
      </c>
      <c r="G301">
        <v>0</v>
      </c>
      <c r="H301">
        <v>0</v>
      </c>
      <c r="I301">
        <v>20</v>
      </c>
      <c r="L301">
        <v>0</v>
      </c>
      <c r="M301">
        <v>0</v>
      </c>
      <c r="N301">
        <v>100</v>
      </c>
      <c r="O301">
        <v>0</v>
      </c>
      <c r="P301">
        <v>0</v>
      </c>
      <c r="Q301">
        <v>100</v>
      </c>
      <c r="T301">
        <v>0</v>
      </c>
      <c r="U301">
        <v>0</v>
      </c>
    </row>
    <row r="302" spans="1:21" hidden="1" x14ac:dyDescent="0.3">
      <c r="A302" t="s">
        <v>235</v>
      </c>
      <c r="B302" t="s">
        <v>226</v>
      </c>
      <c r="C302" t="s">
        <v>167</v>
      </c>
      <c r="D302" t="s">
        <v>74</v>
      </c>
      <c r="E302" t="s">
        <v>164</v>
      </c>
      <c r="F302">
        <v>10</v>
      </c>
      <c r="G302">
        <v>0</v>
      </c>
      <c r="H302">
        <v>0</v>
      </c>
      <c r="I302">
        <v>10</v>
      </c>
      <c r="L302">
        <v>0</v>
      </c>
      <c r="M302">
        <v>0</v>
      </c>
      <c r="N302">
        <v>50</v>
      </c>
      <c r="O302">
        <v>0</v>
      </c>
      <c r="P302">
        <v>0</v>
      </c>
      <c r="Q302">
        <v>50</v>
      </c>
      <c r="T302">
        <v>0</v>
      </c>
      <c r="U302">
        <v>0</v>
      </c>
    </row>
    <row r="303" spans="1:21" hidden="1" x14ac:dyDescent="0.3">
      <c r="A303" t="s">
        <v>235</v>
      </c>
      <c r="B303" t="s">
        <v>227</v>
      </c>
      <c r="C303" t="s">
        <v>167</v>
      </c>
      <c r="D303" t="s">
        <v>47</v>
      </c>
      <c r="E303" t="s">
        <v>165</v>
      </c>
      <c r="F303">
        <v>10</v>
      </c>
      <c r="G303">
        <v>0</v>
      </c>
      <c r="H303">
        <v>0</v>
      </c>
      <c r="I303">
        <v>10</v>
      </c>
      <c r="L303">
        <v>0</v>
      </c>
      <c r="M303">
        <v>0</v>
      </c>
      <c r="N303">
        <v>50</v>
      </c>
      <c r="O303">
        <v>0</v>
      </c>
      <c r="P303">
        <v>0</v>
      </c>
      <c r="Q303">
        <v>50</v>
      </c>
      <c r="T303">
        <v>0</v>
      </c>
      <c r="U303">
        <v>0</v>
      </c>
    </row>
    <row r="304" spans="1:21" hidden="1" x14ac:dyDescent="0.3">
      <c r="A304" t="s">
        <v>235</v>
      </c>
      <c r="B304" t="s">
        <v>228</v>
      </c>
      <c r="C304" t="s">
        <v>51</v>
      </c>
      <c r="D304" t="s">
        <v>74</v>
      </c>
      <c r="E304" t="s">
        <v>163</v>
      </c>
      <c r="F304">
        <v>40</v>
      </c>
      <c r="G304">
        <v>96</v>
      </c>
      <c r="H304">
        <v>0</v>
      </c>
      <c r="I304">
        <v>136</v>
      </c>
      <c r="L304">
        <v>0</v>
      </c>
      <c r="M304">
        <v>0</v>
      </c>
      <c r="N304">
        <v>200</v>
      </c>
      <c r="P304">
        <v>0</v>
      </c>
      <c r="Q304">
        <v>200</v>
      </c>
      <c r="T304">
        <v>0</v>
      </c>
      <c r="U304">
        <v>0</v>
      </c>
    </row>
    <row r="305" spans="1:21" hidden="1" x14ac:dyDescent="0.3">
      <c r="A305" t="s">
        <v>235</v>
      </c>
      <c r="B305" t="s">
        <v>229</v>
      </c>
      <c r="C305" t="s">
        <v>51</v>
      </c>
      <c r="D305" t="s">
        <v>74</v>
      </c>
      <c r="E305" t="s">
        <v>164</v>
      </c>
      <c r="F305">
        <v>25</v>
      </c>
      <c r="G305">
        <v>74</v>
      </c>
      <c r="H305">
        <v>0</v>
      </c>
      <c r="I305">
        <v>99</v>
      </c>
      <c r="L305">
        <v>0</v>
      </c>
      <c r="M305">
        <v>0</v>
      </c>
      <c r="N305">
        <v>125</v>
      </c>
      <c r="P305">
        <v>0</v>
      </c>
      <c r="Q305">
        <v>125</v>
      </c>
      <c r="T305">
        <v>0</v>
      </c>
      <c r="U305">
        <v>0</v>
      </c>
    </row>
    <row r="306" spans="1:21" hidden="1" x14ac:dyDescent="0.3">
      <c r="A306" t="s">
        <v>235</v>
      </c>
      <c r="B306" t="s">
        <v>230</v>
      </c>
      <c r="C306" t="s">
        <v>51</v>
      </c>
      <c r="D306" t="s">
        <v>47</v>
      </c>
      <c r="E306" t="s">
        <v>165</v>
      </c>
      <c r="F306">
        <v>40</v>
      </c>
      <c r="G306">
        <v>102</v>
      </c>
      <c r="H306">
        <v>0</v>
      </c>
      <c r="I306">
        <v>142</v>
      </c>
      <c r="L306">
        <v>0</v>
      </c>
      <c r="M306">
        <v>0</v>
      </c>
      <c r="N306">
        <v>200</v>
      </c>
      <c r="P306">
        <v>0</v>
      </c>
      <c r="Q306">
        <v>200</v>
      </c>
      <c r="T306">
        <v>0</v>
      </c>
      <c r="U306">
        <v>0</v>
      </c>
    </row>
    <row r="307" spans="1:21" hidden="1" x14ac:dyDescent="0.3">
      <c r="A307" t="s">
        <v>235</v>
      </c>
      <c r="B307" t="s">
        <v>231</v>
      </c>
      <c r="C307" t="s">
        <v>51</v>
      </c>
      <c r="D307" t="s">
        <v>168</v>
      </c>
      <c r="E307" t="s">
        <v>169</v>
      </c>
      <c r="F307">
        <v>60</v>
      </c>
      <c r="G307">
        <v>118</v>
      </c>
      <c r="H307">
        <v>0</v>
      </c>
      <c r="I307">
        <v>178</v>
      </c>
      <c r="J307">
        <v>18</v>
      </c>
      <c r="K307">
        <v>22</v>
      </c>
      <c r="L307">
        <v>0</v>
      </c>
      <c r="M307">
        <v>40</v>
      </c>
      <c r="N307">
        <v>300</v>
      </c>
      <c r="P307">
        <v>0</v>
      </c>
      <c r="Q307">
        <v>300</v>
      </c>
      <c r="T307">
        <v>0</v>
      </c>
      <c r="U307">
        <v>0</v>
      </c>
    </row>
    <row r="308" spans="1:21" hidden="1" x14ac:dyDescent="0.3">
      <c r="A308" t="s">
        <v>235</v>
      </c>
      <c r="B308" t="s">
        <v>170</v>
      </c>
      <c r="C308" t="s">
        <v>51</v>
      </c>
      <c r="D308" t="s">
        <v>18</v>
      </c>
      <c r="E308" t="s">
        <v>18</v>
      </c>
      <c r="F308">
        <v>180</v>
      </c>
      <c r="G308">
        <v>320</v>
      </c>
      <c r="H308">
        <v>0</v>
      </c>
      <c r="I308">
        <v>500</v>
      </c>
      <c r="J308">
        <v>23</v>
      </c>
      <c r="K308">
        <v>35</v>
      </c>
      <c r="L308">
        <v>0</v>
      </c>
      <c r="M308">
        <v>58</v>
      </c>
      <c r="N308">
        <v>540</v>
      </c>
      <c r="O308">
        <v>960</v>
      </c>
      <c r="P308">
        <v>0</v>
      </c>
      <c r="Q308">
        <v>1500</v>
      </c>
    </row>
    <row r="309" spans="1:21" hidden="1" x14ac:dyDescent="0.3">
      <c r="A309" t="s">
        <v>235</v>
      </c>
      <c r="B309" t="s">
        <v>171</v>
      </c>
      <c r="C309" t="s">
        <v>51</v>
      </c>
      <c r="D309" t="s">
        <v>62</v>
      </c>
      <c r="E309" t="s">
        <v>172</v>
      </c>
      <c r="F309">
        <v>20</v>
      </c>
      <c r="G309">
        <v>20</v>
      </c>
      <c r="H309">
        <v>0</v>
      </c>
      <c r="I309">
        <v>40</v>
      </c>
      <c r="L309">
        <v>0</v>
      </c>
      <c r="M309">
        <v>0</v>
      </c>
      <c r="N309">
        <v>60</v>
      </c>
      <c r="O309">
        <v>80</v>
      </c>
      <c r="P309">
        <v>0</v>
      </c>
      <c r="Q309">
        <v>140</v>
      </c>
      <c r="T309">
        <v>0</v>
      </c>
    </row>
    <row r="310" spans="1:21" hidden="1" x14ac:dyDescent="0.3">
      <c r="A310" t="s">
        <v>235</v>
      </c>
      <c r="B310" t="s">
        <v>232</v>
      </c>
      <c r="C310" t="s">
        <v>51</v>
      </c>
      <c r="D310" t="s">
        <v>62</v>
      </c>
      <c r="E310" t="s">
        <v>173</v>
      </c>
      <c r="F310">
        <v>20</v>
      </c>
      <c r="G310">
        <v>20</v>
      </c>
      <c r="H310">
        <v>0</v>
      </c>
      <c r="I310">
        <v>40</v>
      </c>
      <c r="L310">
        <v>0</v>
      </c>
      <c r="M310">
        <v>0</v>
      </c>
      <c r="N310">
        <v>40</v>
      </c>
      <c r="O310">
        <v>100</v>
      </c>
      <c r="P310">
        <v>0</v>
      </c>
      <c r="Q310">
        <v>140</v>
      </c>
      <c r="T310">
        <v>0</v>
      </c>
    </row>
    <row r="311" spans="1:21" hidden="1" x14ac:dyDescent="0.3">
      <c r="A311" t="s">
        <v>235</v>
      </c>
      <c r="B311" t="s">
        <v>233</v>
      </c>
      <c r="C311" t="s">
        <v>51</v>
      </c>
      <c r="D311" t="s">
        <v>62</v>
      </c>
      <c r="E311" t="s">
        <v>174</v>
      </c>
      <c r="F311">
        <v>10</v>
      </c>
      <c r="G311">
        <v>16</v>
      </c>
      <c r="H311">
        <v>0</v>
      </c>
      <c r="I311">
        <v>26</v>
      </c>
      <c r="L311">
        <v>0</v>
      </c>
      <c r="M311">
        <v>0</v>
      </c>
      <c r="N311">
        <v>50</v>
      </c>
      <c r="O311">
        <v>185</v>
      </c>
      <c r="P311">
        <v>0</v>
      </c>
      <c r="Q311">
        <v>235</v>
      </c>
      <c r="T311">
        <v>0</v>
      </c>
    </row>
    <row r="312" spans="1:21" hidden="1" x14ac:dyDescent="0.3">
      <c r="A312" t="s">
        <v>235</v>
      </c>
      <c r="B312" t="s">
        <v>175</v>
      </c>
      <c r="C312" t="s">
        <v>51</v>
      </c>
      <c r="D312" t="s">
        <v>18</v>
      </c>
      <c r="E312" t="s">
        <v>18</v>
      </c>
      <c r="F312">
        <v>40</v>
      </c>
      <c r="G312">
        <v>60</v>
      </c>
      <c r="H312">
        <v>0</v>
      </c>
      <c r="I312">
        <v>100</v>
      </c>
      <c r="L312">
        <v>0</v>
      </c>
      <c r="N312">
        <v>120</v>
      </c>
      <c r="O312">
        <v>160</v>
      </c>
      <c r="P312">
        <v>0</v>
      </c>
      <c r="Q312">
        <v>280</v>
      </c>
      <c r="T312">
        <v>0</v>
      </c>
    </row>
    <row r="313" spans="1:21" hidden="1" x14ac:dyDescent="0.3">
      <c r="A313" t="s">
        <v>235</v>
      </c>
      <c r="B313" t="s">
        <v>176</v>
      </c>
      <c r="C313" t="s">
        <v>51</v>
      </c>
      <c r="D313" t="s">
        <v>159</v>
      </c>
      <c r="E313" t="s">
        <v>159</v>
      </c>
      <c r="F313">
        <v>45</v>
      </c>
      <c r="G313">
        <v>45</v>
      </c>
      <c r="H313">
        <v>0</v>
      </c>
      <c r="I313">
        <v>90</v>
      </c>
      <c r="L313">
        <v>0</v>
      </c>
      <c r="N313">
        <v>125</v>
      </c>
      <c r="O313">
        <v>162</v>
      </c>
      <c r="P313">
        <v>0</v>
      </c>
      <c r="Q313">
        <v>287</v>
      </c>
      <c r="T313">
        <v>0</v>
      </c>
    </row>
    <row r="314" spans="1:21" hidden="1" x14ac:dyDescent="0.3">
      <c r="A314" t="s">
        <v>235</v>
      </c>
      <c r="B314" t="s">
        <v>234</v>
      </c>
      <c r="C314" t="s">
        <v>177</v>
      </c>
      <c r="D314" t="s">
        <v>159</v>
      </c>
      <c r="E314" t="s">
        <v>159</v>
      </c>
      <c r="F314">
        <v>18</v>
      </c>
      <c r="G314">
        <v>13</v>
      </c>
      <c r="H314">
        <v>0</v>
      </c>
      <c r="I314">
        <v>31</v>
      </c>
      <c r="L314">
        <v>0</v>
      </c>
      <c r="P314">
        <v>0</v>
      </c>
      <c r="Q314">
        <v>0</v>
      </c>
      <c r="T314">
        <v>0</v>
      </c>
    </row>
  </sheetData>
  <autoFilter ref="A1:U314" xr:uid="{00000000-0001-0000-0000-000000000000}">
    <filterColumn colId="0">
      <filters>
        <filter val="Health Pillar"/>
      </filters>
    </filterColumn>
  </autoFilter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2d9f05-d449-4457-acdb-7d30940c7cbe}" enabled="1" method="Standard" siteId="{720b637a-655a-40cf-816a-f22f40755c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Mohamed Ali</cp:lastModifiedBy>
  <dcterms:created xsi:type="dcterms:W3CDTF">2015-06-05T18:17:20Z</dcterms:created>
  <dcterms:modified xsi:type="dcterms:W3CDTF">2026-09-26T15:26:44Z</dcterms:modified>
</cp:coreProperties>
</file>